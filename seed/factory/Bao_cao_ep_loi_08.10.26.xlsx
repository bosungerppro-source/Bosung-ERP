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850" activeTab="1"/>
  </bookViews>
  <sheets>
    <sheet name="Sheet2" sheetId="2" r:id="rId1"/>
    <sheet name="Báo cáo ép lõi" sheetId="1" r:id="rId2"/>
  </sheets>
  <externalReferences>
    <externalReference r:id="rId3"/>
  </externalReferences>
  <definedNames>
    <definedName name="_xlnm._FilterDatabase" localSheetId="0" hidden="1">Sheet2!$A$2:$H$3527</definedName>
    <definedName name="_xlnm.Print_Area" localSheetId="1">'Báo cáo ép lõi'!$B$2:$T$7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SYDZ</author>
  </authors>
  <commentList>
    <comment ref="C51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사용하지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52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사용하지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54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사용히지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55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사용않음</t>
        </r>
      </text>
    </comment>
    <comment ref="C2425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사용하지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2426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사용하지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2427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사용하지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2428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사용하지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2429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사용하지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2430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사용하지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2431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사용하지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2432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사용하지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2433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사용하지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2434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사용하지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2435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사용하지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2436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사용하지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2437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사용하지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2438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사용하지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2448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사용히지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2449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사용히지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2450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사용히지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2451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사용히지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2452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사용히지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2453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사용히지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2454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사용히지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2455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사용히지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않음</t>
        </r>
      </text>
    </comment>
    <comment ref="C2456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사용않음</t>
        </r>
      </text>
    </comment>
    <comment ref="C2457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사용않음</t>
        </r>
      </text>
    </comment>
    <comment ref="C2458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사용않음</t>
        </r>
      </text>
    </comment>
    <comment ref="C2459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사용않음</t>
        </r>
      </text>
    </comment>
    <comment ref="C2460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사용않음</t>
        </r>
      </text>
    </comment>
    <comment ref="C2461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사용않음</t>
        </r>
      </text>
    </comment>
    <comment ref="C2462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사용않음</t>
        </r>
      </text>
    </comment>
    <comment ref="C2463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사용않음</t>
        </r>
      </text>
    </comment>
    <comment ref="C3239" authorId="0">
      <text>
        <r>
          <rPr>
            <b/>
            <sz val="9"/>
            <rFont val="Tahoma"/>
            <charset val="134"/>
          </rPr>
          <t>SYDZ: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BatangChe"/>
            <charset val="134"/>
          </rPr>
          <t>한국에서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보낸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배합표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대로</t>
        </r>
        <r>
          <rPr>
            <sz val="9"/>
            <rFont val="Tahoma"/>
            <charset val="134"/>
          </rPr>
          <t xml:space="preserve"> </t>
        </r>
        <r>
          <rPr>
            <sz val="9"/>
            <rFont val="BatangChe"/>
            <charset val="134"/>
          </rPr>
          <t>변경</t>
        </r>
        <r>
          <rPr>
            <sz val="9"/>
            <rFont val="Tahoma"/>
            <charset val="134"/>
          </rPr>
          <t xml:space="preserve"> 1050</t>
        </r>
        <r>
          <rPr>
            <sz val="9"/>
            <rFont val="BatangChe"/>
            <charset val="134"/>
          </rPr>
          <t>사용않음</t>
        </r>
      </text>
    </comment>
  </commentList>
</comments>
</file>

<file path=xl/sharedStrings.xml><?xml version="1.0" encoding="utf-8"?>
<sst xmlns="http://schemas.openxmlformats.org/spreadsheetml/2006/main" count="2040" uniqueCount="783">
  <si>
    <t>KH</t>
  </si>
  <si>
    <t>Loại</t>
  </si>
  <si>
    <t>Code</t>
  </si>
  <si>
    <t>Name</t>
  </si>
  <si>
    <t>Phân loại</t>
  </si>
  <si>
    <t>ERP Code</t>
  </si>
  <si>
    <t>Pcs</t>
  </si>
  <si>
    <t>BIC</t>
  </si>
  <si>
    <t>Dial</t>
  </si>
  <si>
    <t>BIC2301</t>
  </si>
  <si>
    <t>Brown</t>
  </si>
  <si>
    <t>Bic</t>
  </si>
  <si>
    <t>RBIC01</t>
  </si>
  <si>
    <t>BIC2302</t>
  </si>
  <si>
    <t>Apricot</t>
  </si>
  <si>
    <t>RBIC02</t>
  </si>
  <si>
    <t>BIC2303</t>
  </si>
  <si>
    <t>Red</t>
  </si>
  <si>
    <t>RBIC03</t>
  </si>
  <si>
    <t>BIC2304</t>
  </si>
  <si>
    <t>Pink</t>
  </si>
  <si>
    <t>RBIC04</t>
  </si>
  <si>
    <t>BIC2305</t>
  </si>
  <si>
    <t>Orange</t>
  </si>
  <si>
    <t>RBIC05</t>
  </si>
  <si>
    <t>BIC2306</t>
  </si>
  <si>
    <t>Yellow</t>
  </si>
  <si>
    <t>RBIC06</t>
  </si>
  <si>
    <t>BIC2307</t>
  </si>
  <si>
    <t>Yellow Green</t>
  </si>
  <si>
    <t>RBIC07</t>
  </si>
  <si>
    <t>BIC2308</t>
  </si>
  <si>
    <t>Green</t>
  </si>
  <si>
    <t>RBIC08</t>
  </si>
  <si>
    <t>BIC2309</t>
  </si>
  <si>
    <t>Sky Blue</t>
  </si>
  <si>
    <t>RBIC09</t>
  </si>
  <si>
    <t>BIC2310</t>
  </si>
  <si>
    <t>Blue</t>
  </si>
  <si>
    <t>RBIC10</t>
  </si>
  <si>
    <t>BIC2311</t>
  </si>
  <si>
    <t>Violet</t>
  </si>
  <si>
    <t>RBIC11</t>
  </si>
  <si>
    <t>BIC2312</t>
  </si>
  <si>
    <t>Black</t>
  </si>
  <si>
    <t>RBIC12</t>
  </si>
  <si>
    <t>Freedom</t>
  </si>
  <si>
    <t>FD001</t>
  </si>
  <si>
    <t>Freedom New</t>
  </si>
  <si>
    <t>RFD01</t>
  </si>
  <si>
    <t>FD002</t>
  </si>
  <si>
    <t>RFD02</t>
  </si>
  <si>
    <t>FD003</t>
  </si>
  <si>
    <t>RFD03</t>
  </si>
  <si>
    <t>FD004</t>
  </si>
  <si>
    <t>RFD04</t>
  </si>
  <si>
    <t>FD005</t>
  </si>
  <si>
    <t>RFD05</t>
  </si>
  <si>
    <t>FD006</t>
  </si>
  <si>
    <t>RFD06</t>
  </si>
  <si>
    <t>FD007</t>
  </si>
  <si>
    <t>RFD07</t>
  </si>
  <si>
    <t>FD008</t>
  </si>
  <si>
    <t>RFD08</t>
  </si>
  <si>
    <t>FD009</t>
  </si>
  <si>
    <t>RFD09</t>
  </si>
  <si>
    <t>FD010</t>
  </si>
  <si>
    <t>RFD10</t>
  </si>
  <si>
    <t>FD011</t>
  </si>
  <si>
    <t>RFD11</t>
  </si>
  <si>
    <t>FD012</t>
  </si>
  <si>
    <t>RFD12</t>
  </si>
  <si>
    <t>Crayola</t>
  </si>
  <si>
    <t>Mini</t>
  </si>
  <si>
    <t>BM01001</t>
  </si>
  <si>
    <t>Brick Red</t>
  </si>
  <si>
    <t>Mini V2</t>
  </si>
  <si>
    <t>RM101</t>
  </si>
  <si>
    <t>BM01002</t>
  </si>
  <si>
    <t>RM102</t>
  </si>
  <si>
    <t>BM01003</t>
  </si>
  <si>
    <t>Scarlet</t>
  </si>
  <si>
    <t>RM103</t>
  </si>
  <si>
    <t>BM01004</t>
  </si>
  <si>
    <t>Salmon</t>
  </si>
  <si>
    <t>RM104</t>
  </si>
  <si>
    <t>BM01005</t>
  </si>
  <si>
    <t>Red Orange</t>
  </si>
  <si>
    <t>RM105</t>
  </si>
  <si>
    <t>BM01006</t>
  </si>
  <si>
    <t>Burnt Orange</t>
  </si>
  <si>
    <t>RM106</t>
  </si>
  <si>
    <t>BM01007</t>
  </si>
  <si>
    <t>Melon</t>
  </si>
  <si>
    <t>RM107</t>
  </si>
  <si>
    <t>BM01008</t>
  </si>
  <si>
    <t>RM108</t>
  </si>
  <si>
    <t>BM01009</t>
  </si>
  <si>
    <t>Yellow Orange</t>
  </si>
  <si>
    <t>RM109</t>
  </si>
  <si>
    <t>BM01010</t>
  </si>
  <si>
    <t>Macaroni &amp; Cheese</t>
  </si>
  <si>
    <t>RM110</t>
  </si>
  <si>
    <t>BM01011</t>
  </si>
  <si>
    <t>Peach</t>
  </si>
  <si>
    <t>RM111</t>
  </si>
  <si>
    <t>BM01012</t>
  </si>
  <si>
    <t>RM112</t>
  </si>
  <si>
    <t>BM01013</t>
  </si>
  <si>
    <t>Golden Rod</t>
  </si>
  <si>
    <t>RM113</t>
  </si>
  <si>
    <t>BM01014</t>
  </si>
  <si>
    <t>RM114</t>
  </si>
  <si>
    <t>BM01015</t>
  </si>
  <si>
    <t>Green Yellow</t>
  </si>
  <si>
    <t>RM115</t>
  </si>
  <si>
    <t>BM01016</t>
  </si>
  <si>
    <t>RM116</t>
  </si>
  <si>
    <t>BM01017</t>
  </si>
  <si>
    <t>Olive Green</t>
  </si>
  <si>
    <t>RM117</t>
  </si>
  <si>
    <t>BM01018</t>
  </si>
  <si>
    <t>Spring Green</t>
  </si>
  <si>
    <t>RM118</t>
  </si>
  <si>
    <t>BM01019</t>
  </si>
  <si>
    <t>RM119</t>
  </si>
  <si>
    <t>BM01020</t>
  </si>
  <si>
    <t>Granny S.Apple</t>
  </si>
  <si>
    <t>RM120</t>
  </si>
  <si>
    <t>BM01021</t>
  </si>
  <si>
    <t>Sea Green</t>
  </si>
  <si>
    <t>RM121</t>
  </si>
  <si>
    <t>BM01022</t>
  </si>
  <si>
    <t>Robin Egg Blue</t>
  </si>
  <si>
    <t>RM122</t>
  </si>
  <si>
    <t>BM01023</t>
  </si>
  <si>
    <t>Blue Green</t>
  </si>
  <si>
    <t>RM123</t>
  </si>
  <si>
    <t>BM01024</t>
  </si>
  <si>
    <t>RM124</t>
  </si>
  <si>
    <t>BM01025</t>
  </si>
  <si>
    <t>Cerulean</t>
  </si>
  <si>
    <t>RM125</t>
  </si>
  <si>
    <t>BM01026</t>
  </si>
  <si>
    <t>RM126</t>
  </si>
  <si>
    <t>BM01027</t>
  </si>
  <si>
    <t>Bluetiful</t>
  </si>
  <si>
    <t>RM127</t>
  </si>
  <si>
    <t>BM01028</t>
  </si>
  <si>
    <t>Cadet Blue</t>
  </si>
  <si>
    <t>RM128</t>
  </si>
  <si>
    <t>BM01029</t>
  </si>
  <si>
    <t>Blue Violet</t>
  </si>
  <si>
    <t>RM129</t>
  </si>
  <si>
    <t>BM01030</t>
  </si>
  <si>
    <t>Indigo</t>
  </si>
  <si>
    <t>RM130</t>
  </si>
  <si>
    <t>BM01031</t>
  </si>
  <si>
    <t>Purple</t>
  </si>
  <si>
    <t>RM131</t>
  </si>
  <si>
    <t>BM01032</t>
  </si>
  <si>
    <t>Wisteria</t>
  </si>
  <si>
    <t>RM132</t>
  </si>
  <si>
    <t>BM01033</t>
  </si>
  <si>
    <t>RM133</t>
  </si>
  <si>
    <t>BM01034</t>
  </si>
  <si>
    <t>Plum</t>
  </si>
  <si>
    <t>RM134</t>
  </si>
  <si>
    <t>BM01035</t>
  </si>
  <si>
    <t>Red Violet</t>
  </si>
  <si>
    <t>RM135</t>
  </si>
  <si>
    <t>BM01036</t>
  </si>
  <si>
    <t>Carnation Pink</t>
  </si>
  <si>
    <t>RM136</t>
  </si>
  <si>
    <t>BM01037</t>
  </si>
  <si>
    <t>Violet Red</t>
  </si>
  <si>
    <t>RM137</t>
  </si>
  <si>
    <t>BM01038</t>
  </si>
  <si>
    <t>Mauvelous</t>
  </si>
  <si>
    <t>RM138</t>
  </si>
  <si>
    <t>BM01039</t>
  </si>
  <si>
    <t>Chestnut</t>
  </si>
  <si>
    <t>RM139</t>
  </si>
  <si>
    <t>BM01040</t>
  </si>
  <si>
    <t>RM140</t>
  </si>
  <si>
    <t>BM01041</t>
  </si>
  <si>
    <t>Sepia</t>
  </si>
  <si>
    <t>RM141</t>
  </si>
  <si>
    <t>BM01042</t>
  </si>
  <si>
    <t>Mahogany</t>
  </si>
  <si>
    <t>RM142</t>
  </si>
  <si>
    <t>BM01043</t>
  </si>
  <si>
    <t>Burnt Sienna</t>
  </si>
  <si>
    <t>RM143</t>
  </si>
  <si>
    <t>BM01044</t>
  </si>
  <si>
    <t>Raw Sienna</t>
  </si>
  <si>
    <t>RM144</t>
  </si>
  <si>
    <t>BM01045</t>
  </si>
  <si>
    <t>Tan</t>
  </si>
  <si>
    <t>RM145</t>
  </si>
  <si>
    <t>BM01046</t>
  </si>
  <si>
    <t>Tumbleweed</t>
  </si>
  <si>
    <t>RM146</t>
  </si>
  <si>
    <t>BM01047</t>
  </si>
  <si>
    <t>RM147</t>
  </si>
  <si>
    <t>BM01048</t>
  </si>
  <si>
    <t>Gray</t>
  </si>
  <si>
    <t>RM148</t>
  </si>
  <si>
    <t>BM01049</t>
  </si>
  <si>
    <t>Timberwolf</t>
  </si>
  <si>
    <t>RM149</t>
  </si>
  <si>
    <t>BM01050</t>
  </si>
  <si>
    <t>White</t>
  </si>
  <si>
    <t>RM150</t>
  </si>
  <si>
    <t>BM01052</t>
  </si>
  <si>
    <t>F. Red</t>
  </si>
  <si>
    <t>RM152</t>
  </si>
  <si>
    <t>BM01053</t>
  </si>
  <si>
    <t>F. Orange</t>
  </si>
  <si>
    <t>RM153</t>
  </si>
  <si>
    <t>BM01054</t>
  </si>
  <si>
    <t>F. Yellow Orange</t>
  </si>
  <si>
    <t>RM154</t>
  </si>
  <si>
    <t>BM01055</t>
  </si>
  <si>
    <t>F. Yellow</t>
  </si>
  <si>
    <t>RM155</t>
  </si>
  <si>
    <t>BM01056</t>
  </si>
  <si>
    <t>F. Green</t>
  </si>
  <si>
    <t>RM156</t>
  </si>
  <si>
    <t>BM01057</t>
  </si>
  <si>
    <t>F. Blue</t>
  </si>
  <si>
    <t>RM157</t>
  </si>
  <si>
    <t>BM01058</t>
  </si>
  <si>
    <t>F. Violet</t>
  </si>
  <si>
    <t>RM158</t>
  </si>
  <si>
    <t>BM01059</t>
  </si>
  <si>
    <t>F. Pink</t>
  </si>
  <si>
    <t>RM159</t>
  </si>
  <si>
    <t>BM01060</t>
  </si>
  <si>
    <t>Metallic Red</t>
  </si>
  <si>
    <t>Metallic V1</t>
  </si>
  <si>
    <t>RM160</t>
  </si>
  <si>
    <t>BM01061</t>
  </si>
  <si>
    <t>Metallic Orange</t>
  </si>
  <si>
    <t>RM161</t>
  </si>
  <si>
    <t>BM01062</t>
  </si>
  <si>
    <t>Metallic Yellow</t>
  </si>
  <si>
    <t>RM162</t>
  </si>
  <si>
    <t>BM01063</t>
  </si>
  <si>
    <t>Metallic Yellow Green</t>
  </si>
  <si>
    <t>RM163</t>
  </si>
  <si>
    <t>BM01064</t>
  </si>
  <si>
    <t>Metallic Blue</t>
  </si>
  <si>
    <t>RM164</t>
  </si>
  <si>
    <t>BM01065</t>
  </si>
  <si>
    <t>Metallic Violet</t>
  </si>
  <si>
    <t>RM165</t>
  </si>
  <si>
    <t>BM01066</t>
  </si>
  <si>
    <t>Metallic Indigo</t>
  </si>
  <si>
    <t>RM166</t>
  </si>
  <si>
    <t>BM01067</t>
  </si>
  <si>
    <t>Silver Sonic</t>
  </si>
  <si>
    <t>RM167</t>
  </si>
  <si>
    <t>BM02005</t>
  </si>
  <si>
    <t>Scarlet (Pizza)</t>
  </si>
  <si>
    <t>Stinky F2 (VN)</t>
  </si>
  <si>
    <t>RM205</t>
  </si>
  <si>
    <t>BM02006</t>
  </si>
  <si>
    <t>Sepia (Dirty Potatoes)</t>
  </si>
  <si>
    <t>RM206</t>
  </si>
  <si>
    <t>BM02007</t>
  </si>
  <si>
    <t>Yellow Green 
(Old Rotten Tooth)</t>
  </si>
  <si>
    <t>RM207</t>
  </si>
  <si>
    <t>BM02008</t>
  </si>
  <si>
    <t>Yellow (Onion)</t>
  </si>
  <si>
    <t>RM208</t>
  </si>
  <si>
    <t>BM02009</t>
  </si>
  <si>
    <t>Silly F2 (VN)</t>
  </si>
  <si>
    <t>RM209</t>
  </si>
  <si>
    <t>BM02010</t>
  </si>
  <si>
    <t>RM210</t>
  </si>
  <si>
    <t>BM02E001</t>
  </si>
  <si>
    <t>RM2E001</t>
  </si>
  <si>
    <t>BM02E002</t>
  </si>
  <si>
    <t>RM2E002</t>
  </si>
  <si>
    <t>BM02E003</t>
  </si>
  <si>
    <t>RM2E003</t>
  </si>
  <si>
    <t>BM02E004</t>
  </si>
  <si>
    <t>RM2E004</t>
  </si>
  <si>
    <t>BM02E005</t>
  </si>
  <si>
    <t>RM2E005</t>
  </si>
  <si>
    <t>BM02E006</t>
  </si>
  <si>
    <t>RM2E006</t>
  </si>
  <si>
    <t>BM02E007</t>
  </si>
  <si>
    <t>RM2E007</t>
  </si>
  <si>
    <t>BM02E008</t>
  </si>
  <si>
    <t>RM2E008</t>
  </si>
  <si>
    <t>BM02E009</t>
  </si>
  <si>
    <t>RM2E009</t>
  </si>
  <si>
    <t>BM02E010</t>
  </si>
  <si>
    <t>RM2E010</t>
  </si>
  <si>
    <t>BM02E011</t>
  </si>
  <si>
    <t>Dandelion</t>
  </si>
  <si>
    <t>RM2E011</t>
  </si>
  <si>
    <t>BM02E012</t>
  </si>
  <si>
    <t>RM2E012</t>
  </si>
  <si>
    <t>BM02E013</t>
  </si>
  <si>
    <t>RM2E013</t>
  </si>
  <si>
    <t>BM02E014</t>
  </si>
  <si>
    <t>RM2E014</t>
  </si>
  <si>
    <t>BM02E015</t>
  </si>
  <si>
    <t>RM2E015</t>
  </si>
  <si>
    <t>BM02E016</t>
  </si>
  <si>
    <t>RM2E016</t>
  </si>
  <si>
    <t>BM02E017</t>
  </si>
  <si>
    <t>Razzmatazz</t>
  </si>
  <si>
    <t>RM2E017</t>
  </si>
  <si>
    <t>BM02E018</t>
  </si>
  <si>
    <t>RM2E018</t>
  </si>
  <si>
    <t>BM02E019</t>
  </si>
  <si>
    <t>RM2E019</t>
  </si>
  <si>
    <t>BM02E020</t>
  </si>
  <si>
    <t>RM2E020</t>
  </si>
  <si>
    <t>BM02E021</t>
  </si>
  <si>
    <t>RM2E021</t>
  </si>
  <si>
    <t>BM02E022</t>
  </si>
  <si>
    <t>RM2E022</t>
  </si>
  <si>
    <t>BM03101</t>
  </si>
  <si>
    <t>S.Up (VN)</t>
  </si>
  <si>
    <t>RM301</t>
  </si>
  <si>
    <t>BM03102</t>
  </si>
  <si>
    <t>RM302</t>
  </si>
  <si>
    <t>BM03103</t>
  </si>
  <si>
    <t>RM303</t>
  </si>
  <si>
    <t>BM03104</t>
  </si>
  <si>
    <t>RM304</t>
  </si>
  <si>
    <t>BM03105</t>
  </si>
  <si>
    <t>RM305</t>
  </si>
  <si>
    <t>BM03106</t>
  </si>
  <si>
    <t>RM306</t>
  </si>
  <si>
    <t>BM03107</t>
  </si>
  <si>
    <t>RM307</t>
  </si>
  <si>
    <t>BM03108</t>
  </si>
  <si>
    <t>RM308</t>
  </si>
  <si>
    <t>BM03109</t>
  </si>
  <si>
    <t>RM309</t>
  </si>
  <si>
    <t>BM03110</t>
  </si>
  <si>
    <t>RM310</t>
  </si>
  <si>
    <t>BM03111</t>
  </si>
  <si>
    <t>RM311</t>
  </si>
  <si>
    <t>BM03112</t>
  </si>
  <si>
    <t>RM312</t>
  </si>
  <si>
    <t>BM03113</t>
  </si>
  <si>
    <t>RM313</t>
  </si>
  <si>
    <t>BM03114</t>
  </si>
  <si>
    <t>RM314</t>
  </si>
  <si>
    <t>BM03115</t>
  </si>
  <si>
    <t>RM315</t>
  </si>
  <si>
    <t>BM03116</t>
  </si>
  <si>
    <t>RM316</t>
  </si>
  <si>
    <t>BM03117</t>
  </si>
  <si>
    <t>RM317</t>
  </si>
  <si>
    <t>BM03118</t>
  </si>
  <si>
    <t>RM318</t>
  </si>
  <si>
    <t>BM03119</t>
  </si>
  <si>
    <t>RM319</t>
  </si>
  <si>
    <t>BM03120</t>
  </si>
  <si>
    <t>RM320</t>
  </si>
  <si>
    <t>BM03121</t>
  </si>
  <si>
    <t>RM321</t>
  </si>
  <si>
    <t>BM03122</t>
  </si>
  <si>
    <t>RM322</t>
  </si>
  <si>
    <t>BM03123</t>
  </si>
  <si>
    <t>RM323</t>
  </si>
  <si>
    <t>BM03124</t>
  </si>
  <si>
    <t>RM324</t>
  </si>
  <si>
    <t>Rainbow</t>
  </si>
  <si>
    <t>BM01RB1</t>
  </si>
  <si>
    <t>1.Black (Fireworks)</t>
  </si>
  <si>
    <t>RMRB1</t>
  </si>
  <si>
    <t>BM01RB10</t>
  </si>
  <si>
    <t>10.Peach (Meteor Shower)</t>
  </si>
  <si>
    <t>RMRB10</t>
  </si>
  <si>
    <t>BM01RB2</t>
  </si>
  <si>
    <t>2.Red (Campfire Jamboree)</t>
  </si>
  <si>
    <t>RMRB2</t>
  </si>
  <si>
    <t>BM01RB3</t>
  </si>
  <si>
    <t>3.Violet (New Years Eve)</t>
  </si>
  <si>
    <t>RMRB3</t>
  </si>
  <si>
    <t>BM01RB4</t>
  </si>
  <si>
    <t>4.Yellow (Lime-A-Palooza)</t>
  </si>
  <si>
    <t>RMRB4</t>
  </si>
  <si>
    <t>BM01RB5</t>
  </si>
  <si>
    <t>5.Blue (Raindrops)</t>
  </si>
  <si>
    <t>RMRB5</t>
  </si>
  <si>
    <t>BM01RB6</t>
  </si>
  <si>
    <t>6.Blue Green (Choco Mint Candy)</t>
  </si>
  <si>
    <t>RMRB6</t>
  </si>
  <si>
    <t>BM01RB7</t>
  </si>
  <si>
    <t>7.Brown (Flamingo Festival)</t>
  </si>
  <si>
    <t>RMRB7</t>
  </si>
  <si>
    <t>BM01RB8</t>
  </si>
  <si>
    <t>8.Orange (Sunset Luau)</t>
  </si>
  <si>
    <t>RMRB8</t>
  </si>
  <si>
    <t>BM01RB9</t>
  </si>
  <si>
    <t>9.Green (Garden Soiree)</t>
  </si>
  <si>
    <t>RMRB9</t>
  </si>
  <si>
    <t>Pencil</t>
  </si>
  <si>
    <t>BP001</t>
  </si>
  <si>
    <t>Pencil V2</t>
  </si>
  <si>
    <t>RP001</t>
  </si>
  <si>
    <t>BP002</t>
  </si>
  <si>
    <t>Raspberry</t>
  </si>
  <si>
    <t>RP002</t>
  </si>
  <si>
    <t>BP003</t>
  </si>
  <si>
    <t>RP003</t>
  </si>
  <si>
    <t>BP004</t>
  </si>
  <si>
    <t>RP004</t>
  </si>
  <si>
    <t>BP005</t>
  </si>
  <si>
    <t>RP005</t>
  </si>
  <si>
    <t>BP006</t>
  </si>
  <si>
    <t>RP006</t>
  </si>
  <si>
    <t>BP007</t>
  </si>
  <si>
    <t>Lt Orange</t>
  </si>
  <si>
    <t>RP007</t>
  </si>
  <si>
    <t>BP008</t>
  </si>
  <si>
    <t>Mango</t>
  </si>
  <si>
    <t>RP008</t>
  </si>
  <si>
    <t>BP009</t>
  </si>
  <si>
    <t>Golden Yellow</t>
  </si>
  <si>
    <t>RP009</t>
  </si>
  <si>
    <t>BP010</t>
  </si>
  <si>
    <t>RP010</t>
  </si>
  <si>
    <t>BP011</t>
  </si>
  <si>
    <t>RP011</t>
  </si>
  <si>
    <t>BP012</t>
  </si>
  <si>
    <t>Lemon Yellow</t>
  </si>
  <si>
    <t>RP012</t>
  </si>
  <si>
    <t>BP013</t>
  </si>
  <si>
    <t>Lime Green</t>
  </si>
  <si>
    <t>RP013</t>
  </si>
  <si>
    <t>BP014</t>
  </si>
  <si>
    <t>RP014</t>
  </si>
  <si>
    <t>BP015</t>
  </si>
  <si>
    <t>Jade Green</t>
  </si>
  <si>
    <t>RP015</t>
  </si>
  <si>
    <t>BP016</t>
  </si>
  <si>
    <t>RP016</t>
  </si>
  <si>
    <t>BP017</t>
  </si>
  <si>
    <t>Asparagus</t>
  </si>
  <si>
    <t>RP017</t>
  </si>
  <si>
    <t>BP018</t>
  </si>
  <si>
    <t>Pine Green</t>
  </si>
  <si>
    <t>RP018</t>
  </si>
  <si>
    <t>BP019</t>
  </si>
  <si>
    <t>Teal</t>
  </si>
  <si>
    <t>RP019</t>
  </si>
  <si>
    <t>BP020</t>
  </si>
  <si>
    <t>Aqua Green</t>
  </si>
  <si>
    <t>RP020</t>
  </si>
  <si>
    <t>BP021</t>
  </si>
  <si>
    <t>Green Blue</t>
  </si>
  <si>
    <t>RP021</t>
  </si>
  <si>
    <t>BP022</t>
  </si>
  <si>
    <t>Absolute Zero</t>
  </si>
  <si>
    <t>RP022</t>
  </si>
  <si>
    <t>BP023</t>
  </si>
  <si>
    <t>RP023</t>
  </si>
  <si>
    <t>BP024</t>
  </si>
  <si>
    <t>RP024</t>
  </si>
  <si>
    <t>BP025</t>
  </si>
  <si>
    <t>RP025</t>
  </si>
  <si>
    <t>BP026</t>
  </si>
  <si>
    <t>Lt Blue</t>
  </si>
  <si>
    <t>RP026</t>
  </si>
  <si>
    <t>BP027</t>
  </si>
  <si>
    <t>Navy Blue</t>
  </si>
  <si>
    <t>RP027</t>
  </si>
  <si>
    <t>BP028</t>
  </si>
  <si>
    <t>RP028</t>
  </si>
  <si>
    <t>BP029</t>
  </si>
  <si>
    <t>Orchid</t>
  </si>
  <si>
    <t>RP029</t>
  </si>
  <si>
    <t>BP030</t>
  </si>
  <si>
    <t>RP030</t>
  </si>
  <si>
    <t>BP031</t>
  </si>
  <si>
    <t>RP031</t>
  </si>
  <si>
    <t>BP032</t>
  </si>
  <si>
    <t>RP032</t>
  </si>
  <si>
    <t>BP033</t>
  </si>
  <si>
    <t>Maroon</t>
  </si>
  <si>
    <t>RP033</t>
  </si>
  <si>
    <t>BP034</t>
  </si>
  <si>
    <t>RP034</t>
  </si>
  <si>
    <t>BP035</t>
  </si>
  <si>
    <t>Magenta</t>
  </si>
  <si>
    <t>RP035</t>
  </si>
  <si>
    <t>BP036</t>
  </si>
  <si>
    <t>RP036</t>
  </si>
  <si>
    <t>BP037</t>
  </si>
  <si>
    <t>Pink Flamingo</t>
  </si>
  <si>
    <t>RP037</t>
  </si>
  <si>
    <t>BP038</t>
  </si>
  <si>
    <t>Bubblegum</t>
  </si>
  <si>
    <t>RP038</t>
  </si>
  <si>
    <t>BP039</t>
  </si>
  <si>
    <t>RP039</t>
  </si>
  <si>
    <t>BP040</t>
  </si>
  <si>
    <t>RP040</t>
  </si>
  <si>
    <t>BP041</t>
  </si>
  <si>
    <t>Lt Brown</t>
  </si>
  <si>
    <t>RP041</t>
  </si>
  <si>
    <t>BP042</t>
  </si>
  <si>
    <t>RP042</t>
  </si>
  <si>
    <t>BP043</t>
  </si>
  <si>
    <t>RP043</t>
  </si>
  <si>
    <t>BP044</t>
  </si>
  <si>
    <t>Sand</t>
  </si>
  <si>
    <t>RP044</t>
  </si>
  <si>
    <t>BP045</t>
  </si>
  <si>
    <t>Taupe</t>
  </si>
  <si>
    <t>RP045</t>
  </si>
  <si>
    <t>BP046</t>
  </si>
  <si>
    <t>Bronze Yellow</t>
  </si>
  <si>
    <t>RP046</t>
  </si>
  <si>
    <t>BP047</t>
  </si>
  <si>
    <t>RP047</t>
  </si>
  <si>
    <t>BP048</t>
  </si>
  <si>
    <t>RP048</t>
  </si>
  <si>
    <t>BP049</t>
  </si>
  <si>
    <t>Slate</t>
  </si>
  <si>
    <t>RP049</t>
  </si>
  <si>
    <t>BP050</t>
  </si>
  <si>
    <t>RP050</t>
  </si>
  <si>
    <t>BP051</t>
  </si>
  <si>
    <t>RP051</t>
  </si>
  <si>
    <t>BP052</t>
  </si>
  <si>
    <t>RP052</t>
  </si>
  <si>
    <t>BP053</t>
  </si>
  <si>
    <t>RP053</t>
  </si>
  <si>
    <t>BP054</t>
  </si>
  <si>
    <t>Turquoise</t>
  </si>
  <si>
    <t>RP054</t>
  </si>
  <si>
    <t>BP2E001</t>
  </si>
  <si>
    <t>RP2E01</t>
  </si>
  <si>
    <t>BP2E002</t>
  </si>
  <si>
    <t>RP2E02</t>
  </si>
  <si>
    <t>BP2E003</t>
  </si>
  <si>
    <t>RP2E03</t>
  </si>
  <si>
    <t>BP2E004</t>
  </si>
  <si>
    <t>RP2E04</t>
  </si>
  <si>
    <t>BP2E005</t>
  </si>
  <si>
    <t>RP2E05</t>
  </si>
  <si>
    <t>BP2E006</t>
  </si>
  <si>
    <t>RP2E06</t>
  </si>
  <si>
    <t>BP2E007</t>
  </si>
  <si>
    <t>RP2E07</t>
  </si>
  <si>
    <t>BP2E008</t>
  </si>
  <si>
    <t>RP2E08</t>
  </si>
  <si>
    <t>BP2E009</t>
  </si>
  <si>
    <t>RP2E09</t>
  </si>
  <si>
    <t>BP2E010</t>
  </si>
  <si>
    <t>RP2E10</t>
  </si>
  <si>
    <t>BP2E011</t>
  </si>
  <si>
    <t>RP2E11</t>
  </si>
  <si>
    <t>BP2E012</t>
  </si>
  <si>
    <t>RP2E12</t>
  </si>
  <si>
    <t>BP2E013</t>
  </si>
  <si>
    <t>Light Brown</t>
  </si>
  <si>
    <t>RP2E13</t>
  </si>
  <si>
    <t>BP2E014</t>
  </si>
  <si>
    <t>RP2E14</t>
  </si>
  <si>
    <t>BP2E015</t>
  </si>
  <si>
    <t>RP2E15</t>
  </si>
  <si>
    <t>BP2E016</t>
  </si>
  <si>
    <t>RP2E16</t>
  </si>
  <si>
    <t>BP3001</t>
  </si>
  <si>
    <t>Neon V1</t>
  </si>
  <si>
    <t>RP301</t>
  </si>
  <si>
    <t>BP3002</t>
  </si>
  <si>
    <t>RP302</t>
  </si>
  <si>
    <t>BP3003</t>
  </si>
  <si>
    <t>RP303</t>
  </si>
  <si>
    <t>BP3004</t>
  </si>
  <si>
    <t>RP304</t>
  </si>
  <si>
    <t>BP3005</t>
  </si>
  <si>
    <t>RP305</t>
  </si>
  <si>
    <t>BP3006</t>
  </si>
  <si>
    <t>RP306</t>
  </si>
  <si>
    <t>BP3007</t>
  </si>
  <si>
    <t>RP307</t>
  </si>
  <si>
    <t>BP3008</t>
  </si>
  <si>
    <t>RP308</t>
  </si>
  <si>
    <t>BP3009</t>
  </si>
  <si>
    <t>RP309</t>
  </si>
  <si>
    <t>BP3010</t>
  </si>
  <si>
    <t>RP310</t>
  </si>
  <si>
    <t>BP3011</t>
  </si>
  <si>
    <t>RP311</t>
  </si>
  <si>
    <t>BP3012</t>
  </si>
  <si>
    <t>RP312</t>
  </si>
  <si>
    <t>BR1001</t>
  </si>
  <si>
    <t>Dial V2</t>
  </si>
  <si>
    <t>RR01</t>
  </si>
  <si>
    <t>BR1002</t>
  </si>
  <si>
    <t>RR02</t>
  </si>
  <si>
    <t>BR1003</t>
  </si>
  <si>
    <t>RR03</t>
  </si>
  <si>
    <t>BR1004</t>
  </si>
  <si>
    <t>RR04</t>
  </si>
  <si>
    <t>BR1005</t>
  </si>
  <si>
    <t>RR05</t>
  </si>
  <si>
    <t>BR1006</t>
  </si>
  <si>
    <t>RR06</t>
  </si>
  <si>
    <t>BR1007</t>
  </si>
  <si>
    <t>RR07</t>
  </si>
  <si>
    <t>BR1008</t>
  </si>
  <si>
    <t>RR08</t>
  </si>
  <si>
    <t>BR1009</t>
  </si>
  <si>
    <t>RR09</t>
  </si>
  <si>
    <t>BR1010</t>
  </si>
  <si>
    <t>RR10</t>
  </si>
  <si>
    <t>BR1011</t>
  </si>
  <si>
    <t>RR11</t>
  </si>
  <si>
    <t>BR1012</t>
  </si>
  <si>
    <t>RR12</t>
  </si>
  <si>
    <t>BR1013</t>
  </si>
  <si>
    <t>RR13</t>
  </si>
  <si>
    <t>BR1014</t>
  </si>
  <si>
    <t>RR14</t>
  </si>
  <si>
    <t>BR1015</t>
  </si>
  <si>
    <t>RR15</t>
  </si>
  <si>
    <t>BR1016</t>
  </si>
  <si>
    <t>RR16</t>
  </si>
  <si>
    <t>BR1017</t>
  </si>
  <si>
    <t>RR17</t>
  </si>
  <si>
    <t>BR1018</t>
  </si>
  <si>
    <t>RR18</t>
  </si>
  <si>
    <t>BR1019</t>
  </si>
  <si>
    <t>RR19</t>
  </si>
  <si>
    <t>BR1020</t>
  </si>
  <si>
    <t>RR20</t>
  </si>
  <si>
    <t>BR1021</t>
  </si>
  <si>
    <t>RR21</t>
  </si>
  <si>
    <t>BR1022</t>
  </si>
  <si>
    <t>RR22</t>
  </si>
  <si>
    <t>BR1023</t>
  </si>
  <si>
    <t>RR23</t>
  </si>
  <si>
    <t>BR1024</t>
  </si>
  <si>
    <t>RR24</t>
  </si>
  <si>
    <t>BR1025</t>
  </si>
  <si>
    <t>RR25</t>
  </si>
  <si>
    <t>BR1026</t>
  </si>
  <si>
    <t>RR26</t>
  </si>
  <si>
    <t>BR1027</t>
  </si>
  <si>
    <t>RR27</t>
  </si>
  <si>
    <t>BR1028</t>
  </si>
  <si>
    <t>RR28</t>
  </si>
  <si>
    <t>BR1029</t>
  </si>
  <si>
    <t>RR29</t>
  </si>
  <si>
    <t>BR1030</t>
  </si>
  <si>
    <t>RR30</t>
  </si>
  <si>
    <t>BR1031</t>
  </si>
  <si>
    <t>RR31</t>
  </si>
  <si>
    <t>BR1032</t>
  </si>
  <si>
    <t>RR32</t>
  </si>
  <si>
    <t>BR1033</t>
  </si>
  <si>
    <t>RR33</t>
  </si>
  <si>
    <t>BR1034</t>
  </si>
  <si>
    <t>RR34</t>
  </si>
  <si>
    <t>BR1035</t>
  </si>
  <si>
    <t>RR35</t>
  </si>
  <si>
    <t>BR1036</t>
  </si>
  <si>
    <t>RR36</t>
  </si>
  <si>
    <t>BR1037</t>
  </si>
  <si>
    <t>RR37</t>
  </si>
  <si>
    <t>BR1038</t>
  </si>
  <si>
    <t>RR38</t>
  </si>
  <si>
    <t>BR1039</t>
  </si>
  <si>
    <t>RR39</t>
  </si>
  <si>
    <t>BR1040</t>
  </si>
  <si>
    <t>RR40</t>
  </si>
  <si>
    <t>BR1041</t>
  </si>
  <si>
    <t>RR41</t>
  </si>
  <si>
    <t>BR1042</t>
  </si>
  <si>
    <t>RR42</t>
  </si>
  <si>
    <t>BR1043</t>
  </si>
  <si>
    <t>RR43</t>
  </si>
  <si>
    <t>BR1044</t>
  </si>
  <si>
    <t>RR44</t>
  </si>
  <si>
    <t>BR1045</t>
  </si>
  <si>
    <t>RR45</t>
  </si>
  <si>
    <t>BC-102</t>
  </si>
  <si>
    <t>Peel</t>
  </si>
  <si>
    <t>P001</t>
  </si>
  <si>
    <t>Small</t>
  </si>
  <si>
    <t>RWP01</t>
  </si>
  <si>
    <t>P002</t>
  </si>
  <si>
    <t>RWP02</t>
  </si>
  <si>
    <t>P003</t>
  </si>
  <si>
    <t>RWP03</t>
  </si>
  <si>
    <t>P004</t>
  </si>
  <si>
    <t>RWP04</t>
  </si>
  <si>
    <t>P005</t>
  </si>
  <si>
    <t>Light Green</t>
  </si>
  <si>
    <t>RWP05</t>
  </si>
  <si>
    <t>P006</t>
  </si>
  <si>
    <t>RWP06</t>
  </si>
  <si>
    <t>P007</t>
  </si>
  <si>
    <t>RWP07</t>
  </si>
  <si>
    <t>P008</t>
  </si>
  <si>
    <t>RWP08</t>
  </si>
  <si>
    <t>P009</t>
  </si>
  <si>
    <t>RWP09</t>
  </si>
  <si>
    <t>P010</t>
  </si>
  <si>
    <t>Light Blue</t>
  </si>
  <si>
    <t>RWP10</t>
  </si>
  <si>
    <t>P012</t>
  </si>
  <si>
    <t>RWP12</t>
  </si>
  <si>
    <t>P013</t>
  </si>
  <si>
    <t>RWP13</t>
  </si>
  <si>
    <t>P014</t>
  </si>
  <si>
    <t>Yellow Ocher</t>
  </si>
  <si>
    <t>RWP14</t>
  </si>
  <si>
    <t>P015</t>
  </si>
  <si>
    <t>RWP15</t>
  </si>
  <si>
    <t>P016</t>
  </si>
  <si>
    <t>Gray - Silver</t>
  </si>
  <si>
    <t>RWP16</t>
  </si>
  <si>
    <t>P017</t>
  </si>
  <si>
    <t>Gold</t>
  </si>
  <si>
    <t>RWP17</t>
  </si>
  <si>
    <t>P011</t>
  </si>
  <si>
    <t>RWP11</t>
  </si>
  <si>
    <t>Công thức</t>
  </si>
  <si>
    <t>Nhập</t>
  </si>
  <si>
    <t>thời gian nhập theo định dạng 24h</t>
  </si>
  <si>
    <t xml:space="preserve">      생 산 일 보                                                                </t>
  </si>
  <si>
    <t xml:space="preserve">Created by </t>
  </si>
  <si>
    <t xml:space="preserve">Checked by </t>
  </si>
  <si>
    <t>Approved by</t>
  </si>
  <si>
    <t>BÁO CÁO SẢN XUẤT HÀNG NGÀY</t>
  </si>
  <si>
    <t>Cảnh</t>
  </si>
  <si>
    <t>1. 작업장명
Tên công đoạn</t>
  </si>
  <si>
    <t>Refill Forming
Tạo ruột lõi</t>
  </si>
  <si>
    <t>2. 생산일자
Ngày sản xuất</t>
  </si>
  <si>
    <t>MC</t>
  </si>
  <si>
    <t>MC No.</t>
  </si>
  <si>
    <t>Description</t>
  </si>
  <si>
    <r>
      <rPr>
        <b/>
        <sz val="11"/>
        <color rgb="FF0000FF"/>
        <rFont val="Calibri"/>
        <charset val="134"/>
      </rPr>
      <t>④</t>
    </r>
    <r>
      <rPr>
        <b/>
        <sz val="11"/>
        <color rgb="FF0000FF"/>
        <rFont val="Times New Roman"/>
        <charset val="134"/>
      </rPr>
      <t xml:space="preserve"> Product Code</t>
    </r>
  </si>
  <si>
    <r>
      <rPr>
        <sz val="11"/>
        <color rgb="FF0000FF"/>
        <rFont val="Calibri"/>
        <charset val="134"/>
      </rPr>
      <t>⑤</t>
    </r>
    <r>
      <rPr>
        <sz val="11"/>
        <color rgb="FF0000FF"/>
        <rFont val="Times New Roman"/>
        <charset val="134"/>
      </rPr>
      <t xml:space="preserve"> Plan Weight(g)</t>
    </r>
  </si>
  <si>
    <r>
      <rPr>
        <sz val="11"/>
        <color rgb="FF0000FF"/>
        <rFont val="Calibri"/>
        <charset val="134"/>
      </rPr>
      <t>⑥</t>
    </r>
    <r>
      <rPr>
        <sz val="11"/>
        <color rgb="FF0000FF"/>
        <rFont val="Times New Roman"/>
        <charset val="134"/>
      </rPr>
      <t xml:space="preserve"> Plan qty(ea)</t>
    </r>
  </si>
  <si>
    <t>⑦ Real Weight(g)</t>
  </si>
  <si>
    <r>
      <rPr>
        <sz val="11"/>
        <color rgb="FF0000FF"/>
        <rFont val="Calibri"/>
        <charset val="134"/>
      </rPr>
      <t>⑧</t>
    </r>
    <r>
      <rPr>
        <sz val="11"/>
        <color rgb="FF0000FF"/>
        <rFont val="Times New Roman"/>
        <charset val="134"/>
      </rPr>
      <t xml:space="preserve"> Calcuate qty(ea)</t>
    </r>
  </si>
  <si>
    <t>⑨ Real qty(ea)</t>
  </si>
  <si>
    <r>
      <rPr>
        <sz val="11"/>
        <color rgb="FF0000FF"/>
        <rFont val="Calibri"/>
        <charset val="134"/>
      </rPr>
      <t>⑪</t>
    </r>
    <r>
      <rPr>
        <sz val="11"/>
        <color rgb="FF0000FF"/>
        <rFont val="Times New Roman"/>
        <charset val="134"/>
      </rPr>
      <t xml:space="preserve"> Loss  Weight (g)</t>
    </r>
  </si>
  <si>
    <r>
      <rPr>
        <sz val="11"/>
        <color rgb="FF0000FF"/>
        <rFont val="Calibri"/>
        <charset val="134"/>
      </rPr>
      <t>⑩</t>
    </r>
    <r>
      <rPr>
        <sz val="11"/>
        <color rgb="FF0000FF"/>
        <rFont val="Times New Roman"/>
        <charset val="134"/>
      </rPr>
      <t xml:space="preserve"> Loss qty(ea): </t>
    </r>
    <r>
      <rPr>
        <sz val="11"/>
        <color rgb="FF0000FF"/>
        <rFont val="Calibri"/>
        <charset val="134"/>
      </rPr>
      <t>⑧</t>
    </r>
    <r>
      <rPr>
        <sz val="11"/>
        <color rgb="FF0000FF"/>
        <rFont val="Times New Roman"/>
        <charset val="134"/>
      </rPr>
      <t>-</t>
    </r>
    <r>
      <rPr>
        <sz val="11"/>
        <color rgb="FF0000FF"/>
        <rFont val="Calibri"/>
        <charset val="134"/>
      </rPr>
      <t>⑨</t>
    </r>
  </si>
  <si>
    <r>
      <rPr>
        <sz val="11"/>
        <color rgb="FF0000FF"/>
        <rFont val="Calibri"/>
        <charset val="134"/>
      </rPr>
      <t>⑫</t>
    </r>
    <r>
      <rPr>
        <sz val="11"/>
        <color rgb="FF0000FF"/>
        <rFont val="Times New Roman"/>
        <charset val="134"/>
      </rPr>
      <t xml:space="preserve"> Working Time(min)</t>
    </r>
  </si>
  <si>
    <r>
      <rPr>
        <sz val="11"/>
        <color rgb="FF0000FF"/>
        <rFont val="Calibri"/>
        <charset val="134"/>
      </rPr>
      <t>⑬</t>
    </r>
    <r>
      <rPr>
        <sz val="11"/>
        <color rgb="FF0000FF"/>
        <rFont val="Times New Roman"/>
        <charset val="134"/>
      </rPr>
      <t xml:space="preserve"> Man power</t>
    </r>
  </si>
  <si>
    <r>
      <rPr>
        <sz val="11"/>
        <color rgb="FF0000FF"/>
        <rFont val="Calibri"/>
        <charset val="134"/>
      </rPr>
      <t>⑭</t>
    </r>
    <r>
      <rPr>
        <sz val="11"/>
        <color rgb="FF0000FF"/>
        <rFont val="Times New Roman"/>
        <charset val="134"/>
      </rPr>
      <t xml:space="preserve"> stop MC(min)</t>
    </r>
  </si>
  <si>
    <t>Remarrk</t>
  </si>
  <si>
    <r>
      <rPr>
        <sz val="11"/>
        <color rgb="FF0000FF"/>
        <rFont val="Calibri"/>
        <charset val="134"/>
      </rPr>
      <t>⑮</t>
    </r>
    <r>
      <rPr>
        <sz val="11"/>
        <color rgb="FF0000FF"/>
        <rFont val="Times New Roman"/>
        <charset val="134"/>
      </rPr>
      <t xml:space="preserve"> DAY/NIGHT</t>
    </r>
  </si>
  <si>
    <t>Tên thiết bị</t>
  </si>
  <si>
    <t>Mã thiết bị</t>
  </si>
  <si>
    <r>
      <rPr>
        <sz val="11"/>
        <color rgb="FF0000FF"/>
        <rFont val="Calibri"/>
        <charset val="134"/>
      </rPr>
      <t>Chi ti</t>
    </r>
    <r>
      <rPr>
        <sz val="11"/>
        <color rgb="FF0000FF"/>
        <rFont val="Times New Roman"/>
        <charset val="134"/>
      </rPr>
      <t>ết</t>
    </r>
  </si>
  <si>
    <r>
      <rPr>
        <b/>
        <sz val="11"/>
        <color rgb="FF0000FF"/>
        <rFont val="Calibri"/>
        <charset val="134"/>
      </rPr>
      <t>④</t>
    </r>
    <r>
      <rPr>
        <b/>
        <sz val="11"/>
        <color rgb="FF0000FF"/>
        <rFont val="Times New Roman"/>
        <charset val="134"/>
      </rPr>
      <t xml:space="preserve"> Mã hàng</t>
    </r>
  </si>
  <si>
    <r>
      <rPr>
        <sz val="11"/>
        <color rgb="FF0000FF"/>
        <rFont val="Calibri"/>
        <charset val="134"/>
      </rPr>
      <t>⑤</t>
    </r>
    <r>
      <rPr>
        <sz val="11"/>
        <color rgb="FF0000FF"/>
        <rFont val="Times New Roman"/>
        <charset val="134"/>
      </rPr>
      <t xml:space="preserve"> Khối lượng sử dụng theo kế hoạch (g)</t>
    </r>
  </si>
  <si>
    <r>
      <rPr>
        <sz val="11"/>
        <color rgb="FF0000FF"/>
        <rFont val="Calibri"/>
        <charset val="134"/>
      </rPr>
      <t>⑥</t>
    </r>
    <r>
      <rPr>
        <sz val="11"/>
        <color rgb="FF0000FF"/>
        <rFont val="Times New Roman"/>
        <charset val="134"/>
      </rPr>
      <t xml:space="preserve"> Số lượng đạt (ea)</t>
    </r>
  </si>
  <si>
    <t>⑦ Khối lượng sử dụng thực tế (g)</t>
  </si>
  <si>
    <r>
      <rPr>
        <sz val="11"/>
        <color rgb="FF0000FF"/>
        <rFont val="Calibri"/>
        <charset val="134"/>
      </rPr>
      <t>⑧</t>
    </r>
    <r>
      <rPr>
        <sz val="11"/>
        <color rgb="FF0000FF"/>
        <rFont val="Times New Roman"/>
        <charset val="134"/>
      </rPr>
      <t xml:space="preserve"> Số lượng sản xuất theo tính toán (ea)</t>
    </r>
  </si>
  <si>
    <t>⑨ Số lượng sản xuất thực tế (ea)</t>
  </si>
  <si>
    <r>
      <rPr>
        <sz val="11"/>
        <color rgb="FF0000FF"/>
        <rFont val="Calibri"/>
        <charset val="134"/>
      </rPr>
      <t>⑪</t>
    </r>
    <r>
      <rPr>
        <sz val="11"/>
        <color rgb="FF0000FF"/>
        <rFont val="Times New Roman"/>
        <charset val="134"/>
      </rPr>
      <t xml:space="preserve"> Khối lượng hao hụt (g)</t>
    </r>
  </si>
  <si>
    <r>
      <rPr>
        <sz val="11"/>
        <color rgb="FF0000FF"/>
        <rFont val="Calibri"/>
        <charset val="134"/>
      </rPr>
      <t>⑩</t>
    </r>
    <r>
      <rPr>
        <sz val="11"/>
        <color rgb="FF0000FF"/>
        <rFont val="Times New Roman"/>
        <charset val="134"/>
      </rPr>
      <t xml:space="preserve"> Số lượng hao hụt (ea): </t>
    </r>
    <r>
      <rPr>
        <sz val="11"/>
        <color rgb="FF0000FF"/>
        <rFont val="Calibri"/>
        <charset val="134"/>
      </rPr>
      <t>⑧</t>
    </r>
    <r>
      <rPr>
        <sz val="11"/>
        <color rgb="FF0000FF"/>
        <rFont val="Times New Roman"/>
        <charset val="134"/>
      </rPr>
      <t>-</t>
    </r>
    <r>
      <rPr>
        <sz val="11"/>
        <color rgb="FF0000FF"/>
        <rFont val="Calibri"/>
        <charset val="134"/>
      </rPr>
      <t>⑨</t>
    </r>
  </si>
  <si>
    <r>
      <rPr>
        <sz val="11"/>
        <color rgb="FF0000FF"/>
        <rFont val="Calibri"/>
        <charset val="134"/>
      </rPr>
      <t>⑫</t>
    </r>
    <r>
      <rPr>
        <sz val="11"/>
        <color rgb="FF0000FF"/>
        <rFont val="Times New Roman"/>
        <charset val="134"/>
      </rPr>
      <t xml:space="preserve"> Thời gian (min)
Mở máy</t>
    </r>
  </si>
  <si>
    <r>
      <rPr>
        <sz val="11"/>
        <color rgb="FF0000FF"/>
        <rFont val="Calibri"/>
        <charset val="134"/>
      </rPr>
      <t>⑫</t>
    </r>
    <r>
      <rPr>
        <sz val="11"/>
        <color rgb="FF0000FF"/>
        <rFont val="Times New Roman"/>
        <charset val="134"/>
      </rPr>
      <t xml:space="preserve"> Thời gian (min)
T</t>
    </r>
    <r>
      <rPr>
        <sz val="11"/>
        <color rgb="FF0000FF"/>
        <rFont val="Calibri"/>
        <charset val="134"/>
      </rPr>
      <t>ắt</t>
    </r>
    <r>
      <rPr>
        <sz val="11"/>
        <color rgb="FF0000FF"/>
        <rFont val="Times New Roman"/>
        <charset val="134"/>
      </rPr>
      <t xml:space="preserve"> máy</t>
    </r>
  </si>
  <si>
    <t>Thời gian nghỉ quy định</t>
  </si>
  <si>
    <t>Số phút quy đổi</t>
  </si>
  <si>
    <r>
      <rPr>
        <sz val="11"/>
        <color rgb="FF0000FF"/>
        <rFont val="Calibri"/>
        <charset val="134"/>
      </rPr>
      <t>⑬</t>
    </r>
    <r>
      <rPr>
        <sz val="11"/>
        <color rgb="FF0000FF"/>
        <rFont val="Times New Roman"/>
        <charset val="134"/>
      </rPr>
      <t xml:space="preserve"> Công nhân</t>
    </r>
  </si>
  <si>
    <r>
      <rPr>
        <sz val="11"/>
        <color rgb="FF0000FF"/>
        <rFont val="Calibri"/>
        <charset val="134"/>
      </rPr>
      <t>⑭</t>
    </r>
    <r>
      <rPr>
        <sz val="11"/>
        <color rgb="FF0000FF"/>
        <rFont val="Times New Roman"/>
        <charset val="134"/>
      </rPr>
      <t xml:space="preserve"> Thời gian ngưng máy (min)</t>
    </r>
  </si>
  <si>
    <t>Ghi chú</t>
  </si>
  <si>
    <r>
      <rPr>
        <sz val="11"/>
        <color rgb="FF0000FF"/>
        <rFont val="Calibri"/>
        <charset val="134"/>
      </rPr>
      <t>⑮</t>
    </r>
    <r>
      <rPr>
        <sz val="11"/>
        <color rgb="FF0000FF"/>
        <rFont val="Times New Roman"/>
        <charset val="134"/>
      </rPr>
      <t xml:space="preserve"> Ca ngày / Ca đêm
</t>
    </r>
  </si>
  <si>
    <t xml:space="preserve">vệ sinh máy
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</si>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</sst>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0.00_ "/>
    <numFmt numFmtId="180" formatCode="dd\.mm\.yyyy;@"/>
    <numFmt numFmtId="181" formatCode="#,##0\ &quot;g&quot;"/>
    <numFmt numFmtId="182" formatCode="[$-1000000]h:mm;@"/>
    <numFmt numFmtId="183" formatCode="#,##0;[Red]#,##0"/>
    <numFmt numFmtId="184" formatCode="#,##0_ ;[Red]\-#,##0\ "/>
    <numFmt numFmtId="185" formatCode="dd/mm/yyyy;@"/>
    <numFmt numFmtId="186" formatCode="d/m/yy;@"/>
  </numFmts>
  <fonts count="43">
    <font>
      <sz val="11"/>
      <color theme="1"/>
      <name val="Calibri"/>
      <charset val="129"/>
      <scheme val="minor"/>
    </font>
    <font>
      <sz val="11"/>
      <color indexed="8"/>
      <name val="Times New Roman"/>
      <charset val="134"/>
    </font>
    <font>
      <sz val="11"/>
      <color theme="1"/>
      <name val="Times New Roman"/>
      <charset val="134"/>
    </font>
    <font>
      <b/>
      <sz val="20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24"/>
      <color indexed="8"/>
      <name val="Times New Roman"/>
      <charset val="134"/>
    </font>
    <font>
      <sz val="14"/>
      <color indexed="8"/>
      <name val="Times New Roman"/>
      <charset val="134"/>
    </font>
    <font>
      <sz val="14"/>
      <color rgb="FF000000"/>
      <name val="Times New Roman"/>
      <charset val="134"/>
    </font>
    <font>
      <sz val="26"/>
      <color rgb="FF0000FF"/>
      <name val="Times New Roman"/>
      <charset val="134"/>
    </font>
    <font>
      <sz val="11"/>
      <color rgb="FF0000FF"/>
      <name val="Times New Roman"/>
      <charset val="134"/>
    </font>
    <font>
      <sz val="11"/>
      <color rgb="FF0000FF"/>
      <name val="Calibri"/>
      <charset val="134"/>
    </font>
    <font>
      <b/>
      <sz val="11"/>
      <color rgb="FF0000FF"/>
      <name val="Calibri"/>
      <charset val="134"/>
    </font>
    <font>
      <b/>
      <sz val="11"/>
      <color rgb="FF0000FF"/>
      <name val="Times New Roman"/>
      <charset val="134"/>
    </font>
    <font>
      <sz val="12"/>
      <color theme="1"/>
      <name val="Times New Roman"/>
      <charset val="134"/>
    </font>
    <font>
      <sz val="10"/>
      <name val="Times New Roman"/>
      <charset val="134"/>
    </font>
    <font>
      <sz val="10"/>
      <color rgb="FFFF0000"/>
      <name val="Times New Roman"/>
      <charset val="134"/>
    </font>
    <font>
      <b/>
      <sz val="10"/>
      <name val="Times New Roman"/>
      <charset val="134"/>
    </font>
    <font>
      <sz val="9"/>
      <name val="Times New Roman"/>
      <charset val="134"/>
    </font>
    <font>
      <sz val="9"/>
      <color rgb="FFFF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돋움"/>
      <charset val="129"/>
    </font>
    <font>
      <b/>
      <sz val="9"/>
      <name val="Tahoma"/>
      <charset val="134"/>
    </font>
    <font>
      <sz val="9"/>
      <name val="BatangChe"/>
      <charset val="134"/>
    </font>
    <font>
      <sz val="9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176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4" borderId="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5" borderId="9" applyNumberFormat="0" applyAlignment="0" applyProtection="0">
      <alignment vertical="center"/>
    </xf>
    <xf numFmtId="0" fontId="29" fillId="6" borderId="10" applyNumberFormat="0" applyAlignment="0" applyProtection="0">
      <alignment vertical="center"/>
    </xf>
    <xf numFmtId="0" fontId="30" fillId="6" borderId="9" applyNumberFormat="0" applyAlignment="0" applyProtection="0">
      <alignment vertical="center"/>
    </xf>
    <xf numFmtId="0" fontId="31" fillId="7" borderId="11" applyNumberFormat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9" fillId="0" borderId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8" fontId="2" fillId="0" borderId="0" xfId="1" applyNumberFormat="1" applyFont="1">
      <alignment vertical="center"/>
    </xf>
    <xf numFmtId="179" fontId="2" fillId="0" borderId="0" xfId="0" applyNumberFormat="1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8" fontId="3" fillId="0" borderId="2" xfId="1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79" fontId="4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8" fontId="5" fillId="0" borderId="5" xfId="1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/>
    </xf>
    <xf numFmtId="178" fontId="1" fillId="0" borderId="0" xfId="1" applyNumberFormat="1" applyFont="1">
      <alignment vertical="center"/>
    </xf>
    <xf numFmtId="179" fontId="1" fillId="0" borderId="0" xfId="0" applyNumberFormat="1" applyFont="1">
      <alignment vertical="center"/>
    </xf>
    <xf numFmtId="0" fontId="6" fillId="0" borderId="3" xfId="0" applyFont="1" applyBorder="1" applyAlignment="1">
      <alignment horizontal="center" vertical="center" wrapText="1"/>
    </xf>
    <xf numFmtId="178" fontId="6" fillId="0" borderId="3" xfId="1" applyNumberFormat="1" applyFont="1" applyBorder="1" applyAlignment="1">
      <alignment horizontal="center" vertical="center" wrapText="1"/>
    </xf>
    <xf numFmtId="178" fontId="7" fillId="0" borderId="3" xfId="1" applyNumberFormat="1" applyFont="1" applyBorder="1" applyAlignment="1">
      <alignment horizontal="center" vertical="center" wrapText="1"/>
    </xf>
    <xf numFmtId="180" fontId="8" fillId="0" borderId="3" xfId="0" applyNumberFormat="1" applyFont="1" applyBorder="1" applyAlignment="1">
      <alignment horizontal="center" vertical="center"/>
    </xf>
    <xf numFmtId="179" fontId="8" fillId="0" borderId="3" xfId="0" applyNumberFormat="1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178" fontId="12" fillId="2" borderId="3" xfId="1" applyNumberFormat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Continuous" vertical="center" wrapText="1"/>
    </xf>
    <xf numFmtId="179" fontId="9" fillId="2" borderId="3" xfId="0" applyNumberFormat="1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3" fillId="0" borderId="3" xfId="0" applyFont="1" applyFill="1" applyBorder="1" applyAlignment="1">
      <alignment vertical="center"/>
    </xf>
    <xf numFmtId="0" fontId="13" fillId="0" borderId="3" xfId="0" applyFont="1" applyFill="1" applyBorder="1" applyAlignment="1">
      <alignment horizontal="center" vertical="center"/>
    </xf>
    <xf numFmtId="4" fontId="14" fillId="0" borderId="0" xfId="50" applyNumberFormat="1" applyFont="1">
      <alignment vertical="center"/>
    </xf>
    <xf numFmtId="181" fontId="13" fillId="0" borderId="3" xfId="0" applyNumberFormat="1" applyFont="1" applyFill="1" applyBorder="1" applyAlignment="1">
      <alignment vertical="center"/>
    </xf>
    <xf numFmtId="38" fontId="13" fillId="0" borderId="3" xfId="0" applyNumberFormat="1" applyFont="1" applyFill="1" applyBorder="1" applyAlignment="1">
      <alignment vertical="center"/>
    </xf>
    <xf numFmtId="178" fontId="13" fillId="0" borderId="3" xfId="1" applyNumberFormat="1" applyFont="1" applyFill="1" applyBorder="1" applyAlignment="1">
      <alignment vertical="center"/>
    </xf>
    <xf numFmtId="38" fontId="13" fillId="0" borderId="3" xfId="0" applyNumberFormat="1" applyFont="1" applyBorder="1">
      <alignment vertical="center"/>
    </xf>
    <xf numFmtId="178" fontId="2" fillId="0" borderId="3" xfId="1" applyNumberFormat="1" applyFont="1" applyFill="1" applyBorder="1" applyAlignment="1">
      <alignment vertical="center"/>
    </xf>
    <xf numFmtId="182" fontId="2" fillId="0" borderId="3" xfId="0" applyNumberFormat="1" applyFont="1" applyFill="1" applyBorder="1" applyAlignment="1">
      <alignment vertical="center"/>
    </xf>
    <xf numFmtId="183" fontId="2" fillId="0" borderId="3" xfId="0" applyNumberFormat="1" applyFont="1" applyFill="1" applyBorder="1" applyAlignment="1">
      <alignment vertical="center"/>
    </xf>
    <xf numFmtId="179" fontId="13" fillId="3" borderId="3" xfId="0" applyNumberFormat="1" applyFont="1" applyFill="1" applyBorder="1" applyAlignment="1">
      <alignment vertical="center"/>
    </xf>
    <xf numFmtId="38" fontId="13" fillId="0" borderId="3" xfId="0" applyNumberFormat="1" applyFont="1" applyFill="1" applyBorder="1" applyAlignment="1">
      <alignment horizontal="center" vertical="center" wrapText="1"/>
    </xf>
    <xf numFmtId="4" fontId="14" fillId="0" borderId="3" xfId="50" applyNumberFormat="1" applyFont="1" applyBorder="1">
      <alignment vertical="center"/>
    </xf>
    <xf numFmtId="0" fontId="2" fillId="0" borderId="3" xfId="0" applyFont="1" applyFill="1" applyBorder="1" applyAlignment="1">
      <alignment horizontal="center" vertical="center"/>
    </xf>
    <xf numFmtId="178" fontId="2" fillId="0" borderId="3" xfId="1" applyNumberFormat="1" applyFont="1" applyBorder="1">
      <alignment vertical="center"/>
    </xf>
    <xf numFmtId="20" fontId="2" fillId="0" borderId="3" xfId="0" applyNumberFormat="1" applyFont="1" applyFill="1" applyBorder="1" applyAlignment="1">
      <alignment vertical="center"/>
    </xf>
    <xf numFmtId="179" fontId="2" fillId="0" borderId="3" xfId="0" applyNumberFormat="1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184" fontId="14" fillId="0" borderId="0" xfId="50" applyNumberFormat="1" applyFont="1">
      <alignment vertical="center"/>
    </xf>
    <xf numFmtId="4" fontId="15" fillId="0" borderId="0" xfId="50" applyNumberFormat="1" applyFont="1">
      <alignment vertical="center"/>
    </xf>
    <xf numFmtId="4" fontId="16" fillId="0" borderId="0" xfId="50" applyNumberFormat="1" applyFont="1">
      <alignment vertical="center"/>
    </xf>
    <xf numFmtId="38" fontId="0" fillId="0" borderId="0" xfId="0" applyNumberFormat="1">
      <alignment vertical="center"/>
    </xf>
    <xf numFmtId="4" fontId="0" fillId="0" borderId="0" xfId="0" applyNumberFormat="1">
      <alignment vertical="center"/>
    </xf>
    <xf numFmtId="38" fontId="14" fillId="0" borderId="0" xfId="50" applyNumberFormat="1" applyFont="1">
      <alignment vertical="center"/>
    </xf>
    <xf numFmtId="4" fontId="14" fillId="0" borderId="0" xfId="50" applyNumberFormat="1" applyFont="1" applyAlignment="1">
      <alignment horizontal="right" vertical="center"/>
    </xf>
    <xf numFmtId="3" fontId="14" fillId="0" borderId="0" xfId="50" applyNumberFormat="1" applyFont="1">
      <alignment vertical="center"/>
    </xf>
    <xf numFmtId="185" fontId="14" fillId="0" borderId="0" xfId="50" applyNumberFormat="1" applyFont="1">
      <alignment vertical="center"/>
    </xf>
    <xf numFmtId="186" fontId="14" fillId="0" borderId="0" xfId="50" applyNumberFormat="1" applyFont="1">
      <alignment vertical="center"/>
    </xf>
    <xf numFmtId="3" fontId="14" fillId="0" borderId="0" xfId="50" applyNumberFormat="1" applyFont="1" applyAlignment="1">
      <alignment horizontal="right" vertical="center"/>
    </xf>
    <xf numFmtId="3" fontId="14" fillId="0" borderId="0" xfId="0" applyNumberFormat="1" applyFont="1" applyAlignment="1">
      <alignment horizontal="left" vertical="center" wrapText="1"/>
    </xf>
    <xf numFmtId="3" fontId="15" fillId="0" borderId="0" xfId="0" applyNumberFormat="1" applyFont="1" applyAlignment="1">
      <alignment horizontal="left" vertical="center" wrapText="1"/>
    </xf>
    <xf numFmtId="4" fontId="15" fillId="0" borderId="0" xfId="50" applyNumberFormat="1" applyFont="1" applyAlignment="1">
      <alignment horizontal="right" vertical="center"/>
    </xf>
    <xf numFmtId="4" fontId="14" fillId="0" borderId="0" xfId="50" applyNumberFormat="1" applyFont="1" applyAlignment="1">
      <alignment horizontal="left" vertical="center"/>
    </xf>
    <xf numFmtId="3" fontId="14" fillId="0" borderId="0" xfId="50" applyNumberFormat="1" applyFont="1" applyAlignment="1">
      <alignment horizontal="left" vertical="center"/>
    </xf>
    <xf numFmtId="4" fontId="15" fillId="0" borderId="0" xfId="50" applyNumberFormat="1" applyFont="1" applyAlignment="1">
      <alignment horizontal="left" vertical="center"/>
    </xf>
    <xf numFmtId="3" fontId="15" fillId="0" borderId="0" xfId="50" applyNumberFormat="1" applyFont="1" applyAlignment="1">
      <alignment horizontal="left" vertical="center"/>
    </xf>
    <xf numFmtId="3" fontId="15" fillId="0" borderId="0" xfId="49" applyNumberFormat="1" applyFont="1" applyFill="1" applyBorder="1" applyAlignment="1">
      <alignment vertical="center" wrapText="1"/>
    </xf>
    <xf numFmtId="3" fontId="14" fillId="0" borderId="0" xfId="49" applyNumberFormat="1" applyFont="1" applyFill="1" applyBorder="1" applyAlignment="1">
      <alignment vertical="center" wrapText="1"/>
    </xf>
    <xf numFmtId="4" fontId="14" fillId="0" borderId="0" xfId="50" applyNumberFormat="1" applyFont="1" applyAlignment="1">
      <alignment horizontal="center" vertical="center"/>
    </xf>
    <xf numFmtId="4" fontId="15" fillId="0" borderId="0" xfId="50" applyNumberFormat="1" applyFont="1" applyAlignment="1">
      <alignment horizontal="center" vertical="center"/>
    </xf>
    <xf numFmtId="3" fontId="14" fillId="0" borderId="0" xfId="49" applyNumberFormat="1" applyFont="1" applyFill="1" applyBorder="1" applyAlignment="1">
      <alignment horizontal="right" vertical="center" wrapText="1"/>
    </xf>
    <xf numFmtId="3" fontId="14" fillId="0" borderId="0" xfId="51" applyNumberFormat="1" applyFont="1" applyAlignment="1">
      <alignment horizontal="left" vertical="center"/>
    </xf>
    <xf numFmtId="186" fontId="15" fillId="0" borderId="0" xfId="50" applyNumberFormat="1" applyFont="1">
      <alignment vertical="center"/>
    </xf>
    <xf numFmtId="3" fontId="15" fillId="0" borderId="0" xfId="50" applyNumberFormat="1" applyFont="1">
      <alignment vertical="center"/>
    </xf>
    <xf numFmtId="3" fontId="14" fillId="0" borderId="0" xfId="50" applyNumberFormat="1" applyFont="1" applyAlignment="1">
      <alignment horizontal="right" vertical="center" wrapText="1"/>
    </xf>
    <xf numFmtId="3" fontId="16" fillId="0" borderId="0" xfId="50" applyNumberFormat="1" applyFont="1">
      <alignment vertical="center"/>
    </xf>
    <xf numFmtId="3" fontId="14" fillId="0" borderId="3" xfId="50" applyNumberFormat="1" applyFont="1" applyBorder="1">
      <alignment vertical="center"/>
    </xf>
    <xf numFmtId="38" fontId="17" fillId="0" borderId="3" xfId="0" applyNumberFormat="1" applyFont="1" applyBorder="1" applyAlignment="1">
      <alignment horizontal="right" vertical="center"/>
    </xf>
    <xf numFmtId="3" fontId="15" fillId="0" borderId="0" xfId="50" applyNumberFormat="1" applyFont="1" applyAlignment="1">
      <alignment horizontal="right" vertical="center"/>
    </xf>
    <xf numFmtId="38" fontId="18" fillId="0" borderId="3" xfId="0" applyNumberFormat="1" applyFont="1" applyBorder="1" applyAlignment="1">
      <alignment horizontal="right" vertical="center"/>
    </xf>
    <xf numFmtId="38" fontId="17" fillId="0" borderId="0" xfId="0" applyNumberFormat="1" applyFont="1" applyAlignment="1">
      <alignment horizontal="right" vertical="center"/>
    </xf>
    <xf numFmtId="38" fontId="18" fillId="0" borderId="0" xfId="0" applyNumberFormat="1" applyFont="1" applyAlignment="1">
      <alignment horizontal="right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쉼표 [0] 6" xfId="49"/>
    <cellStyle name="표준 2" xfId="50"/>
    <cellStyle name="표준 2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\AppData\Roaming\kingsoft\office6\backup\B&#225;o%20c&#225;o%20&#233;p%20l&#245;i%2026.05.18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Báo cáo ép lõi"/>
    </sheetNames>
    <sheetDataSet>
      <sheetData sheetId="0" refreshError="1">
        <row r="1">
          <cell r="B1" t="str">
            <v>Loại</v>
          </cell>
        </row>
        <row r="1">
          <cell r="D1" t="str">
            <v>Name</v>
          </cell>
        </row>
        <row r="1">
          <cell r="F1" t="str">
            <v>ERP Code</v>
          </cell>
        </row>
        <row r="1">
          <cell r="I1" t="str">
            <v>Pcs</v>
          </cell>
        </row>
        <row r="2">
          <cell r="B2" t="str">
            <v>Dial</v>
          </cell>
        </row>
        <row r="2">
          <cell r="D2" t="str">
            <v>Brown</v>
          </cell>
        </row>
        <row r="2">
          <cell r="F2" t="str">
            <v>RBIC01</v>
          </cell>
          <cell r="G2">
            <v>188000</v>
          </cell>
        </row>
        <row r="2">
          <cell r="I2">
            <v>53714</v>
          </cell>
        </row>
        <row r="3">
          <cell r="B3" t="str">
            <v>Dial</v>
          </cell>
        </row>
        <row r="3">
          <cell r="D3" t="str">
            <v>Apricot</v>
          </cell>
        </row>
        <row r="3">
          <cell r="F3" t="str">
            <v>RBIC02</v>
          </cell>
          <cell r="G3">
            <v>180410</v>
          </cell>
        </row>
        <row r="3">
          <cell r="I3">
            <v>51545</v>
          </cell>
        </row>
        <row r="4">
          <cell r="B4" t="str">
            <v>Dial</v>
          </cell>
        </row>
        <row r="4">
          <cell r="D4" t="str">
            <v>Red</v>
          </cell>
        </row>
        <row r="4">
          <cell r="F4" t="str">
            <v>RBIC03</v>
          </cell>
          <cell r="G4">
            <v>168000</v>
          </cell>
        </row>
        <row r="4">
          <cell r="I4">
            <v>48000</v>
          </cell>
        </row>
        <row r="5">
          <cell r="B5" t="str">
            <v>Dial</v>
          </cell>
        </row>
        <row r="5">
          <cell r="D5" t="str">
            <v>Pink</v>
          </cell>
        </row>
        <row r="5">
          <cell r="F5" t="str">
            <v>RBIC04</v>
          </cell>
          <cell r="G5">
            <v>173430</v>
          </cell>
        </row>
        <row r="5">
          <cell r="I5">
            <v>49551</v>
          </cell>
        </row>
        <row r="6">
          <cell r="B6" t="str">
            <v>Dial</v>
          </cell>
        </row>
        <row r="6">
          <cell r="D6" t="str">
            <v>Orange</v>
          </cell>
        </row>
        <row r="6">
          <cell r="F6" t="str">
            <v>RBIC05</v>
          </cell>
          <cell r="G6">
            <v>162000</v>
          </cell>
        </row>
        <row r="6">
          <cell r="I6">
            <v>46285</v>
          </cell>
        </row>
        <row r="7">
          <cell r="B7" t="str">
            <v>Dial</v>
          </cell>
        </row>
        <row r="7">
          <cell r="D7" t="str">
            <v>Yellow</v>
          </cell>
        </row>
        <row r="7">
          <cell r="F7" t="str">
            <v>RBIC06</v>
          </cell>
          <cell r="G7">
            <v>173000</v>
          </cell>
        </row>
        <row r="7">
          <cell r="I7">
            <v>49428</v>
          </cell>
        </row>
        <row r="8">
          <cell r="B8" t="str">
            <v>Dial</v>
          </cell>
        </row>
        <row r="8">
          <cell r="D8" t="str">
            <v>Yellow Green</v>
          </cell>
        </row>
        <row r="8">
          <cell r="F8" t="str">
            <v>RBIC07</v>
          </cell>
          <cell r="G8">
            <v>172800</v>
          </cell>
        </row>
        <row r="8">
          <cell r="I8">
            <v>49371</v>
          </cell>
        </row>
        <row r="9">
          <cell r="B9" t="str">
            <v>Dial</v>
          </cell>
        </row>
        <row r="9">
          <cell r="D9" t="str">
            <v>Green</v>
          </cell>
        </row>
        <row r="9">
          <cell r="F9" t="str">
            <v>RBIC08</v>
          </cell>
          <cell r="G9">
            <v>174900</v>
          </cell>
        </row>
        <row r="9">
          <cell r="I9">
            <v>49971</v>
          </cell>
        </row>
        <row r="10">
          <cell r="B10" t="str">
            <v>Dial</v>
          </cell>
        </row>
        <row r="10">
          <cell r="D10" t="str">
            <v>Sky Blue</v>
          </cell>
        </row>
        <row r="10">
          <cell r="F10" t="str">
            <v>RBIC09</v>
          </cell>
          <cell r="G10">
            <v>174500</v>
          </cell>
        </row>
        <row r="10">
          <cell r="I10">
            <v>49857</v>
          </cell>
        </row>
        <row r="11">
          <cell r="B11" t="str">
            <v>Dial</v>
          </cell>
        </row>
        <row r="11">
          <cell r="D11" t="str">
            <v>Blue</v>
          </cell>
        </row>
        <row r="11">
          <cell r="F11" t="str">
            <v>RBIC10</v>
          </cell>
          <cell r="G11">
            <v>171400</v>
          </cell>
        </row>
        <row r="11">
          <cell r="I11">
            <v>48971</v>
          </cell>
        </row>
        <row r="12">
          <cell r="B12" t="str">
            <v>Dial</v>
          </cell>
        </row>
        <row r="12">
          <cell r="D12" t="str">
            <v>Violet</v>
          </cell>
        </row>
        <row r="12">
          <cell r="F12" t="str">
            <v>RBIC11</v>
          </cell>
          <cell r="G12">
            <v>161691</v>
          </cell>
        </row>
        <row r="12">
          <cell r="I12">
            <v>46197</v>
          </cell>
        </row>
        <row r="13">
          <cell r="B13" t="str">
            <v>Dial</v>
          </cell>
        </row>
        <row r="13">
          <cell r="D13" t="str">
            <v>Black</v>
          </cell>
        </row>
        <row r="13">
          <cell r="F13" t="str">
            <v>RBIC12</v>
          </cell>
          <cell r="G13">
            <v>180000</v>
          </cell>
        </row>
        <row r="13">
          <cell r="I13">
            <v>51428</v>
          </cell>
        </row>
        <row r="14">
          <cell r="B14" t="str">
            <v>Dial</v>
          </cell>
        </row>
        <row r="14">
          <cell r="D14" t="str">
            <v>Brown</v>
          </cell>
        </row>
        <row r="14">
          <cell r="F14" t="str">
            <v>RFD01</v>
          </cell>
          <cell r="G14">
            <v>189000</v>
          </cell>
        </row>
        <row r="14">
          <cell r="I14">
            <v>54000</v>
          </cell>
        </row>
        <row r="15">
          <cell r="B15" t="str">
            <v>Dial</v>
          </cell>
        </row>
        <row r="15">
          <cell r="D15" t="str">
            <v>Red</v>
          </cell>
        </row>
        <row r="15">
          <cell r="F15" t="str">
            <v>RFD02</v>
          </cell>
          <cell r="G15">
            <v>170000</v>
          </cell>
        </row>
        <row r="15">
          <cell r="I15">
            <v>48571</v>
          </cell>
        </row>
        <row r="16">
          <cell r="B16" t="str">
            <v>Dial</v>
          </cell>
        </row>
        <row r="16">
          <cell r="D16" t="str">
            <v>Pink</v>
          </cell>
        </row>
        <row r="16">
          <cell r="F16" t="str">
            <v>RFD03</v>
          </cell>
          <cell r="G16">
            <v>170460</v>
          </cell>
        </row>
        <row r="16">
          <cell r="I16">
            <v>48702</v>
          </cell>
        </row>
        <row r="17">
          <cell r="B17" t="str">
            <v>Dial</v>
          </cell>
        </row>
        <row r="17">
          <cell r="D17" t="str">
            <v>Orange</v>
          </cell>
        </row>
        <row r="17">
          <cell r="F17" t="str">
            <v>RFD04</v>
          </cell>
          <cell r="G17">
            <v>168300</v>
          </cell>
        </row>
        <row r="17">
          <cell r="I17">
            <v>48085</v>
          </cell>
        </row>
        <row r="18">
          <cell r="B18" t="str">
            <v>Dial</v>
          </cell>
        </row>
        <row r="18">
          <cell r="D18" t="str">
            <v>Apricot</v>
          </cell>
        </row>
        <row r="18">
          <cell r="F18" t="str">
            <v>RFD05</v>
          </cell>
          <cell r="G18">
            <v>181640</v>
          </cell>
        </row>
        <row r="18">
          <cell r="I18">
            <v>51897</v>
          </cell>
        </row>
        <row r="19">
          <cell r="B19" t="str">
            <v>Dial</v>
          </cell>
        </row>
        <row r="19">
          <cell r="D19" t="str">
            <v>Yellow</v>
          </cell>
        </row>
        <row r="19">
          <cell r="F19" t="str">
            <v>RFD06</v>
          </cell>
          <cell r="G19">
            <v>171000</v>
          </cell>
        </row>
        <row r="19">
          <cell r="I19">
            <v>48857</v>
          </cell>
        </row>
        <row r="20">
          <cell r="B20" t="str">
            <v>Dial</v>
          </cell>
        </row>
        <row r="20">
          <cell r="D20" t="str">
            <v>Yellow Green</v>
          </cell>
        </row>
        <row r="20">
          <cell r="F20" t="str">
            <v>RFD07</v>
          </cell>
          <cell r="G20">
            <v>173090</v>
          </cell>
        </row>
        <row r="20">
          <cell r="I20">
            <v>49454</v>
          </cell>
        </row>
        <row r="21">
          <cell r="B21" t="str">
            <v>Dial</v>
          </cell>
        </row>
        <row r="21">
          <cell r="D21" t="str">
            <v>Green</v>
          </cell>
        </row>
        <row r="21">
          <cell r="F21" t="str">
            <v>RFD08</v>
          </cell>
          <cell r="G21">
            <v>175090</v>
          </cell>
        </row>
        <row r="21">
          <cell r="I21">
            <v>50025</v>
          </cell>
        </row>
        <row r="22">
          <cell r="B22" t="str">
            <v>Dial</v>
          </cell>
        </row>
        <row r="22">
          <cell r="D22" t="str">
            <v>Sky Blue</v>
          </cell>
        </row>
        <row r="22">
          <cell r="F22" t="str">
            <v>RFD09</v>
          </cell>
          <cell r="G22">
            <v>176890</v>
          </cell>
        </row>
        <row r="22">
          <cell r="I22">
            <v>50540</v>
          </cell>
        </row>
        <row r="23">
          <cell r="B23" t="str">
            <v>Dial</v>
          </cell>
        </row>
        <row r="23">
          <cell r="D23" t="str">
            <v>Blue</v>
          </cell>
        </row>
        <row r="23">
          <cell r="F23" t="str">
            <v>RFD10</v>
          </cell>
          <cell r="G23">
            <v>180200</v>
          </cell>
        </row>
        <row r="23">
          <cell r="I23">
            <v>51485</v>
          </cell>
        </row>
        <row r="24">
          <cell r="B24" t="str">
            <v>Dial</v>
          </cell>
        </row>
        <row r="24">
          <cell r="D24" t="str">
            <v>Violet</v>
          </cell>
        </row>
        <row r="24">
          <cell r="F24" t="str">
            <v>RFD11</v>
          </cell>
          <cell r="G24">
            <v>166300</v>
          </cell>
        </row>
        <row r="24">
          <cell r="I24">
            <v>47514</v>
          </cell>
        </row>
        <row r="25">
          <cell r="B25" t="str">
            <v>Dial</v>
          </cell>
        </row>
        <row r="25">
          <cell r="D25" t="str">
            <v>Black</v>
          </cell>
        </row>
        <row r="25">
          <cell r="F25" t="str">
            <v>RFD12</v>
          </cell>
          <cell r="G25">
            <v>180000</v>
          </cell>
        </row>
        <row r="25">
          <cell r="I25">
            <v>51428</v>
          </cell>
        </row>
        <row r="26">
          <cell r="B26" t="str">
            <v>Mini</v>
          </cell>
        </row>
        <row r="26">
          <cell r="D26" t="str">
            <v>Brick Red</v>
          </cell>
        </row>
        <row r="26">
          <cell r="F26" t="str">
            <v>RM101</v>
          </cell>
          <cell r="G26">
            <v>163780</v>
          </cell>
        </row>
        <row r="26">
          <cell r="I26">
            <v>74445</v>
          </cell>
        </row>
        <row r="27">
          <cell r="B27" t="str">
            <v>Mini</v>
          </cell>
        </row>
        <row r="27">
          <cell r="D27" t="str">
            <v>Red</v>
          </cell>
        </row>
        <row r="27">
          <cell r="F27" t="str">
            <v>RM102</v>
          </cell>
          <cell r="G27">
            <v>164200</v>
          </cell>
        </row>
        <row r="27">
          <cell r="I27">
            <v>74636</v>
          </cell>
        </row>
        <row r="28">
          <cell r="B28" t="str">
            <v>Mini</v>
          </cell>
        </row>
        <row r="28">
          <cell r="D28" t="str">
            <v>Scarlet</v>
          </cell>
        </row>
        <row r="28">
          <cell r="F28" t="str">
            <v>RM103</v>
          </cell>
          <cell r="G28">
            <v>162700</v>
          </cell>
        </row>
        <row r="28">
          <cell r="I28">
            <v>73954</v>
          </cell>
        </row>
        <row r="29">
          <cell r="B29" t="str">
            <v>Mini</v>
          </cell>
        </row>
        <row r="29">
          <cell r="D29" t="str">
            <v>Salmon</v>
          </cell>
        </row>
        <row r="29">
          <cell r="F29" t="str">
            <v>RM104</v>
          </cell>
          <cell r="G29">
            <v>164200</v>
          </cell>
        </row>
        <row r="29">
          <cell r="I29">
            <v>74636</v>
          </cell>
        </row>
        <row r="30">
          <cell r="B30" t="str">
            <v>Mini</v>
          </cell>
        </row>
        <row r="30">
          <cell r="D30" t="str">
            <v>Red Orange</v>
          </cell>
        </row>
        <row r="30">
          <cell r="F30" t="str">
            <v>RM105</v>
          </cell>
          <cell r="G30">
            <v>162800</v>
          </cell>
        </row>
        <row r="30">
          <cell r="I30">
            <v>74000</v>
          </cell>
        </row>
        <row r="31">
          <cell r="B31" t="str">
            <v>Mini</v>
          </cell>
        </row>
        <row r="31">
          <cell r="D31" t="str">
            <v>Burnt Orange</v>
          </cell>
        </row>
        <row r="31">
          <cell r="F31" t="str">
            <v>RM106</v>
          </cell>
          <cell r="G31">
            <v>160290</v>
          </cell>
        </row>
        <row r="31">
          <cell r="I31">
            <v>72859</v>
          </cell>
        </row>
        <row r="32">
          <cell r="B32" t="str">
            <v>Mini</v>
          </cell>
        </row>
        <row r="32">
          <cell r="D32" t="str">
            <v>Melon</v>
          </cell>
        </row>
        <row r="32">
          <cell r="F32" t="str">
            <v>RM107</v>
          </cell>
          <cell r="G32">
            <v>165250</v>
          </cell>
        </row>
        <row r="32">
          <cell r="I32">
            <v>75113</v>
          </cell>
        </row>
        <row r="33">
          <cell r="B33" t="str">
            <v>Mini</v>
          </cell>
        </row>
        <row r="33">
          <cell r="D33" t="str">
            <v>Orange</v>
          </cell>
        </row>
        <row r="33">
          <cell r="F33" t="str">
            <v>RM108</v>
          </cell>
          <cell r="G33">
            <v>159200</v>
          </cell>
        </row>
        <row r="33">
          <cell r="I33">
            <v>72363</v>
          </cell>
        </row>
        <row r="34">
          <cell r="B34" t="str">
            <v>Mini</v>
          </cell>
        </row>
        <row r="34">
          <cell r="D34" t="str">
            <v>Yellow Orange</v>
          </cell>
        </row>
        <row r="34">
          <cell r="F34" t="str">
            <v>RM109</v>
          </cell>
          <cell r="G34">
            <v>164200</v>
          </cell>
        </row>
        <row r="34">
          <cell r="I34">
            <v>74636</v>
          </cell>
        </row>
        <row r="35">
          <cell r="B35" t="str">
            <v>Mini</v>
          </cell>
        </row>
        <row r="35">
          <cell r="D35" t="str">
            <v>Macaroni &amp; Cheese</v>
          </cell>
        </row>
        <row r="35">
          <cell r="F35" t="str">
            <v>RM110</v>
          </cell>
          <cell r="G35">
            <v>165500</v>
          </cell>
        </row>
        <row r="35">
          <cell r="I35">
            <v>75227</v>
          </cell>
        </row>
        <row r="36">
          <cell r="B36" t="str">
            <v>Mini</v>
          </cell>
        </row>
        <row r="36">
          <cell r="D36" t="str">
            <v>Peach</v>
          </cell>
        </row>
        <row r="36">
          <cell r="F36" t="str">
            <v>RM111</v>
          </cell>
          <cell r="G36">
            <v>171090</v>
          </cell>
        </row>
        <row r="36">
          <cell r="I36">
            <v>77768</v>
          </cell>
        </row>
        <row r="37">
          <cell r="B37" t="str">
            <v>Mini</v>
          </cell>
        </row>
        <row r="37">
          <cell r="D37" t="str">
            <v>Apricot</v>
          </cell>
        </row>
        <row r="37">
          <cell r="F37" t="str">
            <v>RM112</v>
          </cell>
          <cell r="G37">
            <v>175860</v>
          </cell>
        </row>
        <row r="37">
          <cell r="I37">
            <v>79936</v>
          </cell>
        </row>
        <row r="38">
          <cell r="B38" t="str">
            <v>Mini</v>
          </cell>
        </row>
        <row r="38">
          <cell r="D38" t="str">
            <v>Golden Rod</v>
          </cell>
        </row>
        <row r="38">
          <cell r="F38" t="str">
            <v>RM113</v>
          </cell>
          <cell r="G38">
            <v>161240</v>
          </cell>
        </row>
        <row r="38">
          <cell r="I38">
            <v>73290</v>
          </cell>
        </row>
        <row r="39">
          <cell r="B39" t="str">
            <v>Mini</v>
          </cell>
        </row>
        <row r="39">
          <cell r="D39" t="str">
            <v>Yellow</v>
          </cell>
        </row>
        <row r="39">
          <cell r="F39" t="str">
            <v>RM114</v>
          </cell>
          <cell r="G39">
            <v>167500</v>
          </cell>
        </row>
        <row r="39">
          <cell r="I39">
            <v>76136</v>
          </cell>
        </row>
        <row r="40">
          <cell r="B40" t="str">
            <v>Mini</v>
          </cell>
        </row>
        <row r="40">
          <cell r="D40" t="str">
            <v>Green Yellow</v>
          </cell>
        </row>
        <row r="40">
          <cell r="F40" t="str">
            <v>RM115</v>
          </cell>
          <cell r="G40">
            <v>165650</v>
          </cell>
        </row>
        <row r="40">
          <cell r="I40">
            <v>75295</v>
          </cell>
        </row>
        <row r="41">
          <cell r="B41" t="str">
            <v>Mini</v>
          </cell>
        </row>
        <row r="41">
          <cell r="D41" t="str">
            <v>Yellow Green</v>
          </cell>
        </row>
        <row r="41">
          <cell r="F41" t="str">
            <v>RM116</v>
          </cell>
          <cell r="G41">
            <v>168450</v>
          </cell>
        </row>
        <row r="41">
          <cell r="I41">
            <v>76568</v>
          </cell>
        </row>
        <row r="42">
          <cell r="B42" t="str">
            <v>Mini</v>
          </cell>
        </row>
        <row r="42">
          <cell r="D42" t="str">
            <v>Olive Green</v>
          </cell>
        </row>
        <row r="42">
          <cell r="F42" t="str">
            <v>RM117</v>
          </cell>
          <cell r="G42">
            <v>162180</v>
          </cell>
        </row>
        <row r="42">
          <cell r="I42">
            <v>73718</v>
          </cell>
        </row>
        <row r="43">
          <cell r="B43" t="str">
            <v>Mini</v>
          </cell>
        </row>
        <row r="43">
          <cell r="D43" t="str">
            <v>Spring Green</v>
          </cell>
        </row>
        <row r="43">
          <cell r="F43" t="str">
            <v>RM118</v>
          </cell>
          <cell r="G43">
            <v>162190</v>
          </cell>
        </row>
        <row r="43">
          <cell r="I43">
            <v>73722</v>
          </cell>
        </row>
        <row r="44">
          <cell r="B44" t="str">
            <v>Mini</v>
          </cell>
        </row>
        <row r="44">
          <cell r="D44" t="str">
            <v>Green</v>
          </cell>
        </row>
        <row r="44">
          <cell r="F44" t="str">
            <v>RM119</v>
          </cell>
          <cell r="G44">
            <v>167100</v>
          </cell>
        </row>
        <row r="44">
          <cell r="I44">
            <v>75954</v>
          </cell>
        </row>
        <row r="45">
          <cell r="B45" t="str">
            <v>Mini</v>
          </cell>
        </row>
        <row r="45">
          <cell r="D45" t="str">
            <v>Granny S.Apple</v>
          </cell>
        </row>
        <row r="45">
          <cell r="F45" t="str">
            <v>RM120</v>
          </cell>
          <cell r="G45">
            <v>165600</v>
          </cell>
        </row>
        <row r="45">
          <cell r="I45">
            <v>75272</v>
          </cell>
        </row>
        <row r="46">
          <cell r="B46" t="str">
            <v>Mini</v>
          </cell>
        </row>
        <row r="46">
          <cell r="D46" t="str">
            <v>Sea Green</v>
          </cell>
        </row>
        <row r="46">
          <cell r="F46" t="str">
            <v>RM121</v>
          </cell>
          <cell r="G46">
            <v>173650</v>
          </cell>
        </row>
        <row r="46">
          <cell r="I46">
            <v>78931</v>
          </cell>
        </row>
        <row r="47">
          <cell r="B47" t="str">
            <v>Mini</v>
          </cell>
        </row>
        <row r="47">
          <cell r="D47" t="str">
            <v>Robin Egg Blue</v>
          </cell>
        </row>
        <row r="47">
          <cell r="F47" t="str">
            <v>RM122</v>
          </cell>
          <cell r="G47">
            <v>169700</v>
          </cell>
        </row>
        <row r="47">
          <cell r="I47">
            <v>77136</v>
          </cell>
        </row>
        <row r="48">
          <cell r="B48" t="str">
            <v>Mini</v>
          </cell>
        </row>
        <row r="48">
          <cell r="D48" t="str">
            <v>Blue Green</v>
          </cell>
        </row>
        <row r="48">
          <cell r="F48" t="str">
            <v>RM123</v>
          </cell>
          <cell r="G48">
            <v>170800</v>
          </cell>
        </row>
        <row r="48">
          <cell r="I48">
            <v>77636</v>
          </cell>
        </row>
        <row r="49">
          <cell r="B49" t="str">
            <v>Mini</v>
          </cell>
        </row>
        <row r="49">
          <cell r="D49" t="str">
            <v>Sky Blue</v>
          </cell>
        </row>
        <row r="49">
          <cell r="F49" t="str">
            <v>RM124</v>
          </cell>
          <cell r="G49">
            <v>168500</v>
          </cell>
        </row>
        <row r="49">
          <cell r="I49">
            <v>76590</v>
          </cell>
        </row>
        <row r="50">
          <cell r="B50" t="str">
            <v>Mini</v>
          </cell>
        </row>
        <row r="50">
          <cell r="D50" t="str">
            <v>Cerulean</v>
          </cell>
        </row>
        <row r="50">
          <cell r="F50" t="str">
            <v>RM125</v>
          </cell>
          <cell r="G50">
            <v>172200</v>
          </cell>
        </row>
        <row r="50">
          <cell r="I50">
            <v>78272</v>
          </cell>
        </row>
        <row r="51">
          <cell r="B51" t="str">
            <v>Mini</v>
          </cell>
        </row>
        <row r="51">
          <cell r="D51" t="str">
            <v>Blue</v>
          </cell>
        </row>
        <row r="51">
          <cell r="F51" t="str">
            <v>RM126</v>
          </cell>
          <cell r="G51">
            <v>166700</v>
          </cell>
        </row>
        <row r="51">
          <cell r="I51">
            <v>75772</v>
          </cell>
        </row>
        <row r="52">
          <cell r="B52" t="str">
            <v>Mini</v>
          </cell>
        </row>
        <row r="52">
          <cell r="D52" t="str">
            <v>Bluetiful</v>
          </cell>
        </row>
        <row r="52">
          <cell r="F52" t="str">
            <v>RM127</v>
          </cell>
          <cell r="G52">
            <v>162850</v>
          </cell>
        </row>
        <row r="52">
          <cell r="I52">
            <v>74022</v>
          </cell>
        </row>
        <row r="53">
          <cell r="B53" t="str">
            <v>Mini</v>
          </cell>
        </row>
        <row r="53">
          <cell r="D53" t="str">
            <v>Cadet Blue</v>
          </cell>
        </row>
        <row r="53">
          <cell r="F53" t="str">
            <v>RM128</v>
          </cell>
          <cell r="G53">
            <v>167610</v>
          </cell>
        </row>
        <row r="53">
          <cell r="I53">
            <v>76186</v>
          </cell>
        </row>
        <row r="54">
          <cell r="B54" t="str">
            <v>Mini</v>
          </cell>
        </row>
        <row r="54">
          <cell r="D54" t="str">
            <v>Blue Violet</v>
          </cell>
        </row>
        <row r="54">
          <cell r="F54" t="str">
            <v>RM129</v>
          </cell>
          <cell r="G54">
            <v>159250</v>
          </cell>
        </row>
        <row r="54">
          <cell r="I54">
            <v>72386</v>
          </cell>
        </row>
        <row r="55">
          <cell r="B55" t="str">
            <v>Mini</v>
          </cell>
        </row>
        <row r="55">
          <cell r="D55" t="str">
            <v>Indigo</v>
          </cell>
        </row>
        <row r="55">
          <cell r="F55" t="str">
            <v>RM130</v>
          </cell>
          <cell r="G55">
            <v>169750</v>
          </cell>
        </row>
        <row r="55">
          <cell r="I55">
            <v>77159</v>
          </cell>
        </row>
        <row r="56">
          <cell r="B56" t="str">
            <v>Mini</v>
          </cell>
        </row>
        <row r="56">
          <cell r="D56" t="str">
            <v>Purple</v>
          </cell>
        </row>
        <row r="56">
          <cell r="F56" t="str">
            <v>RM131</v>
          </cell>
          <cell r="G56">
            <v>161250</v>
          </cell>
        </row>
        <row r="56">
          <cell r="I56">
            <v>73295</v>
          </cell>
        </row>
        <row r="57">
          <cell r="B57" t="str">
            <v>Mini</v>
          </cell>
        </row>
        <row r="57">
          <cell r="D57" t="str">
            <v>Wisteria</v>
          </cell>
        </row>
        <row r="57">
          <cell r="F57" t="str">
            <v>RM132</v>
          </cell>
          <cell r="G57">
            <v>168100</v>
          </cell>
        </row>
        <row r="57">
          <cell r="I57">
            <v>76409</v>
          </cell>
        </row>
        <row r="58">
          <cell r="B58" t="str">
            <v>Mini</v>
          </cell>
        </row>
        <row r="58">
          <cell r="D58" t="str">
            <v>Violet</v>
          </cell>
        </row>
        <row r="58">
          <cell r="F58" t="str">
            <v>RM133</v>
          </cell>
          <cell r="G58">
            <v>158960</v>
          </cell>
        </row>
        <row r="58">
          <cell r="I58">
            <v>72254</v>
          </cell>
        </row>
        <row r="59">
          <cell r="B59" t="str">
            <v>Mini</v>
          </cell>
        </row>
        <row r="59">
          <cell r="D59" t="str">
            <v>Plum</v>
          </cell>
        </row>
        <row r="59">
          <cell r="F59" t="str">
            <v>RM134</v>
          </cell>
          <cell r="G59">
            <v>163100</v>
          </cell>
        </row>
        <row r="59">
          <cell r="I59">
            <v>74136</v>
          </cell>
        </row>
        <row r="60">
          <cell r="B60" t="str">
            <v>Mini</v>
          </cell>
        </row>
        <row r="60">
          <cell r="D60" t="str">
            <v>Red Violet</v>
          </cell>
        </row>
        <row r="60">
          <cell r="F60" t="str">
            <v>RM135</v>
          </cell>
          <cell r="G60">
            <v>158940</v>
          </cell>
        </row>
        <row r="60">
          <cell r="I60">
            <v>72245</v>
          </cell>
        </row>
        <row r="61">
          <cell r="B61" t="str">
            <v>Mini</v>
          </cell>
        </row>
        <row r="61">
          <cell r="D61" t="str">
            <v>Carnation Pink</v>
          </cell>
        </row>
        <row r="61">
          <cell r="F61" t="str">
            <v>RM136</v>
          </cell>
          <cell r="G61">
            <v>167860</v>
          </cell>
        </row>
        <row r="61">
          <cell r="I61">
            <v>76300</v>
          </cell>
        </row>
        <row r="62">
          <cell r="B62" t="str">
            <v>Mini</v>
          </cell>
        </row>
        <row r="62">
          <cell r="D62" t="str">
            <v>Violet Red</v>
          </cell>
        </row>
        <row r="62">
          <cell r="F62" t="str">
            <v>RM137</v>
          </cell>
          <cell r="G62">
            <v>159170</v>
          </cell>
        </row>
        <row r="62">
          <cell r="I62">
            <v>72350</v>
          </cell>
        </row>
        <row r="63">
          <cell r="B63" t="str">
            <v>Mini</v>
          </cell>
        </row>
        <row r="63">
          <cell r="D63" t="str">
            <v>Mauvelous</v>
          </cell>
        </row>
        <row r="63">
          <cell r="F63" t="str">
            <v>RM138</v>
          </cell>
          <cell r="G63">
            <v>162170</v>
          </cell>
        </row>
        <row r="63">
          <cell r="I63">
            <v>73713</v>
          </cell>
        </row>
        <row r="64">
          <cell r="B64" t="str">
            <v>Mini</v>
          </cell>
        </row>
        <row r="64">
          <cell r="D64" t="str">
            <v>Chestnut</v>
          </cell>
        </row>
        <row r="64">
          <cell r="F64" t="str">
            <v>RM139</v>
          </cell>
          <cell r="G64">
            <v>168980</v>
          </cell>
        </row>
        <row r="64">
          <cell r="I64">
            <v>76809</v>
          </cell>
        </row>
        <row r="65">
          <cell r="B65" t="str">
            <v>Mini</v>
          </cell>
        </row>
        <row r="65">
          <cell r="D65" t="str">
            <v>Brown</v>
          </cell>
        </row>
        <row r="65">
          <cell r="F65" t="str">
            <v>RM140</v>
          </cell>
          <cell r="G65">
            <v>168700</v>
          </cell>
        </row>
        <row r="65">
          <cell r="I65">
            <v>76681</v>
          </cell>
        </row>
        <row r="66">
          <cell r="B66" t="str">
            <v>Mini</v>
          </cell>
        </row>
        <row r="66">
          <cell r="D66" t="str">
            <v>Sepia</v>
          </cell>
        </row>
        <row r="66">
          <cell r="F66" t="str">
            <v>RM141</v>
          </cell>
          <cell r="G66">
            <v>169150</v>
          </cell>
        </row>
        <row r="66">
          <cell r="I66">
            <v>76886</v>
          </cell>
        </row>
        <row r="67">
          <cell r="B67" t="str">
            <v>Mini</v>
          </cell>
        </row>
        <row r="67">
          <cell r="D67" t="str">
            <v>Mahogany</v>
          </cell>
        </row>
        <row r="67">
          <cell r="F67" t="str">
            <v>RM142</v>
          </cell>
          <cell r="G67">
            <v>165800</v>
          </cell>
        </row>
        <row r="67">
          <cell r="I67">
            <v>75363</v>
          </cell>
        </row>
        <row r="68">
          <cell r="B68" t="str">
            <v>Mini</v>
          </cell>
        </row>
        <row r="68">
          <cell r="D68" t="str">
            <v>Burnt Sienna</v>
          </cell>
        </row>
        <row r="68">
          <cell r="F68" t="str">
            <v>RM143</v>
          </cell>
          <cell r="G68">
            <v>162500</v>
          </cell>
        </row>
        <row r="68">
          <cell r="I68">
            <v>73863</v>
          </cell>
        </row>
        <row r="69">
          <cell r="B69" t="str">
            <v>Mini</v>
          </cell>
        </row>
        <row r="69">
          <cell r="D69" t="str">
            <v>Raw Sienna</v>
          </cell>
        </row>
        <row r="69">
          <cell r="F69" t="str">
            <v>RM144</v>
          </cell>
          <cell r="G69">
            <v>162600</v>
          </cell>
        </row>
        <row r="69">
          <cell r="I69">
            <v>73909</v>
          </cell>
        </row>
        <row r="70">
          <cell r="B70" t="str">
            <v>Mini</v>
          </cell>
        </row>
        <row r="70">
          <cell r="D70" t="str">
            <v>Tan</v>
          </cell>
        </row>
        <row r="70">
          <cell r="F70" t="str">
            <v>RM145</v>
          </cell>
          <cell r="G70">
            <v>160650</v>
          </cell>
        </row>
        <row r="70">
          <cell r="I70">
            <v>73022</v>
          </cell>
        </row>
        <row r="71">
          <cell r="B71" t="str">
            <v>Mini</v>
          </cell>
        </row>
        <row r="71">
          <cell r="D71" t="str">
            <v>Tumbleweed</v>
          </cell>
        </row>
        <row r="71">
          <cell r="F71" t="str">
            <v>RM146</v>
          </cell>
          <cell r="G71">
            <v>161100</v>
          </cell>
        </row>
        <row r="71">
          <cell r="I71">
            <v>73227</v>
          </cell>
        </row>
        <row r="72">
          <cell r="B72" t="str">
            <v>Mini</v>
          </cell>
        </row>
        <row r="72">
          <cell r="D72" t="str">
            <v>Black</v>
          </cell>
        </row>
        <row r="72">
          <cell r="F72" t="str">
            <v>RM147</v>
          </cell>
          <cell r="G72">
            <v>171500</v>
          </cell>
        </row>
        <row r="72">
          <cell r="I72">
            <v>77954</v>
          </cell>
        </row>
        <row r="73">
          <cell r="B73" t="str">
            <v>Mini</v>
          </cell>
        </row>
        <row r="73">
          <cell r="D73" t="str">
            <v>Gray</v>
          </cell>
        </row>
        <row r="73">
          <cell r="F73" t="str">
            <v>RM148</v>
          </cell>
          <cell r="G73">
            <v>177580</v>
          </cell>
        </row>
        <row r="73">
          <cell r="I73">
            <v>80718</v>
          </cell>
        </row>
        <row r="74">
          <cell r="B74" t="str">
            <v>Mini</v>
          </cell>
        </row>
        <row r="74">
          <cell r="D74" t="str">
            <v>Timberwolf</v>
          </cell>
        </row>
        <row r="74">
          <cell r="F74" t="str">
            <v>RM149</v>
          </cell>
          <cell r="G74">
            <v>167000</v>
          </cell>
        </row>
        <row r="74">
          <cell r="I74">
            <v>75909</v>
          </cell>
        </row>
        <row r="75">
          <cell r="B75" t="str">
            <v>Mini</v>
          </cell>
        </row>
        <row r="75">
          <cell r="D75" t="str">
            <v>White</v>
          </cell>
        </row>
        <row r="75">
          <cell r="F75" t="str">
            <v>RM150</v>
          </cell>
          <cell r="G75">
            <v>172000</v>
          </cell>
        </row>
        <row r="75">
          <cell r="I75">
            <v>78181</v>
          </cell>
        </row>
        <row r="76">
          <cell r="B76" t="str">
            <v>Mini</v>
          </cell>
        </row>
        <row r="76">
          <cell r="D76" t="str">
            <v>F. Red</v>
          </cell>
        </row>
        <row r="76">
          <cell r="F76" t="str">
            <v>RM152</v>
          </cell>
          <cell r="G76">
            <v>177500</v>
          </cell>
        </row>
        <row r="76">
          <cell r="I76">
            <v>80681</v>
          </cell>
        </row>
        <row r="77">
          <cell r="B77" t="str">
            <v>Mini</v>
          </cell>
        </row>
        <row r="77">
          <cell r="D77" t="str">
            <v>F. Orange</v>
          </cell>
        </row>
        <row r="77">
          <cell r="F77" t="str">
            <v>RM153</v>
          </cell>
          <cell r="G77">
            <v>177500</v>
          </cell>
        </row>
        <row r="77">
          <cell r="I77">
            <v>80681</v>
          </cell>
        </row>
        <row r="78">
          <cell r="B78" t="str">
            <v>Mini</v>
          </cell>
        </row>
        <row r="78">
          <cell r="D78" t="str">
            <v>F. Yellow Orange</v>
          </cell>
        </row>
        <row r="78">
          <cell r="F78" t="str">
            <v>RM154</v>
          </cell>
          <cell r="G78">
            <v>177500</v>
          </cell>
        </row>
        <row r="78">
          <cell r="I78">
            <v>80681</v>
          </cell>
        </row>
        <row r="79">
          <cell r="B79" t="str">
            <v>Mini</v>
          </cell>
        </row>
        <row r="79">
          <cell r="D79" t="str">
            <v>F. Yellow</v>
          </cell>
        </row>
        <row r="79">
          <cell r="F79" t="str">
            <v>RM155</v>
          </cell>
          <cell r="G79">
            <v>177500</v>
          </cell>
        </row>
        <row r="79">
          <cell r="I79">
            <v>80681</v>
          </cell>
        </row>
        <row r="80">
          <cell r="B80" t="str">
            <v>Mini</v>
          </cell>
        </row>
        <row r="80">
          <cell r="D80" t="str">
            <v>F. Green</v>
          </cell>
        </row>
        <row r="80">
          <cell r="F80" t="str">
            <v>RM156</v>
          </cell>
          <cell r="G80">
            <v>177500</v>
          </cell>
        </row>
        <row r="80">
          <cell r="I80">
            <v>80681</v>
          </cell>
        </row>
        <row r="81">
          <cell r="B81" t="str">
            <v>Mini</v>
          </cell>
        </row>
        <row r="81">
          <cell r="D81" t="str">
            <v>F. Blue</v>
          </cell>
        </row>
        <row r="81">
          <cell r="F81" t="str">
            <v>RM157</v>
          </cell>
          <cell r="G81">
            <v>177500</v>
          </cell>
        </row>
        <row r="81">
          <cell r="I81">
            <v>80681</v>
          </cell>
        </row>
        <row r="82">
          <cell r="B82" t="str">
            <v>Mini</v>
          </cell>
        </row>
        <row r="82">
          <cell r="D82" t="str">
            <v>F. Violet</v>
          </cell>
        </row>
        <row r="82">
          <cell r="F82" t="str">
            <v>RM158</v>
          </cell>
          <cell r="G82">
            <v>177500</v>
          </cell>
        </row>
        <row r="82">
          <cell r="I82">
            <v>80681</v>
          </cell>
        </row>
        <row r="83">
          <cell r="B83" t="str">
            <v>Mini</v>
          </cell>
        </row>
        <row r="83">
          <cell r="D83" t="str">
            <v>F. Pink</v>
          </cell>
        </row>
        <row r="83">
          <cell r="F83" t="str">
            <v>RM159</v>
          </cell>
          <cell r="G83">
            <v>177500</v>
          </cell>
        </row>
        <row r="83">
          <cell r="I83">
            <v>80681</v>
          </cell>
        </row>
        <row r="84">
          <cell r="B84" t="str">
            <v>Mini</v>
          </cell>
        </row>
        <row r="84">
          <cell r="D84" t="str">
            <v>Metallic Red</v>
          </cell>
        </row>
        <row r="84">
          <cell r="F84" t="str">
            <v>RM160</v>
          </cell>
          <cell r="G84">
            <v>334400</v>
          </cell>
        </row>
        <row r="84">
          <cell r="I84">
            <v>139333</v>
          </cell>
        </row>
        <row r="85">
          <cell r="B85" t="str">
            <v>Mini</v>
          </cell>
        </row>
        <row r="85">
          <cell r="D85" t="str">
            <v>Metallic Orange</v>
          </cell>
        </row>
        <row r="85">
          <cell r="F85" t="str">
            <v>RM161</v>
          </cell>
          <cell r="G85">
            <v>324400</v>
          </cell>
        </row>
        <row r="85">
          <cell r="I85">
            <v>135166</v>
          </cell>
        </row>
        <row r="86">
          <cell r="B86" t="str">
            <v>Mini</v>
          </cell>
        </row>
        <row r="86">
          <cell r="D86" t="str">
            <v>Metallic Yellow</v>
          </cell>
        </row>
        <row r="86">
          <cell r="F86" t="str">
            <v>RM162</v>
          </cell>
          <cell r="G86">
            <v>335000</v>
          </cell>
        </row>
        <row r="86">
          <cell r="I86">
            <v>139583</v>
          </cell>
        </row>
        <row r="87">
          <cell r="B87" t="str">
            <v>Mini</v>
          </cell>
        </row>
        <row r="87">
          <cell r="D87" t="str">
            <v>Metallic Yellow Green</v>
          </cell>
        </row>
        <row r="87">
          <cell r="F87" t="str">
            <v>RM163</v>
          </cell>
          <cell r="G87">
            <v>342300</v>
          </cell>
        </row>
        <row r="87">
          <cell r="I87">
            <v>142625</v>
          </cell>
        </row>
        <row r="88">
          <cell r="B88" t="str">
            <v>Mini</v>
          </cell>
        </row>
        <row r="88">
          <cell r="D88" t="str">
            <v>Metallic Blue</v>
          </cell>
        </row>
        <row r="88">
          <cell r="F88" t="str">
            <v>RM164</v>
          </cell>
          <cell r="G88">
            <v>340200</v>
          </cell>
        </row>
        <row r="88">
          <cell r="I88">
            <v>141750</v>
          </cell>
        </row>
        <row r="89">
          <cell r="B89" t="str">
            <v>Mini</v>
          </cell>
        </row>
        <row r="89">
          <cell r="D89" t="str">
            <v>Metallic Violet</v>
          </cell>
        </row>
        <row r="89">
          <cell r="F89" t="str">
            <v>RM165</v>
          </cell>
          <cell r="G89">
            <v>323920</v>
          </cell>
        </row>
        <row r="89">
          <cell r="I89">
            <v>134966</v>
          </cell>
        </row>
        <row r="90">
          <cell r="B90" t="str">
            <v>Mini</v>
          </cell>
        </row>
        <row r="90">
          <cell r="D90" t="str">
            <v>Metallic Indigo</v>
          </cell>
        </row>
        <row r="90">
          <cell r="F90" t="str">
            <v>RM166</v>
          </cell>
          <cell r="G90">
            <v>346000</v>
          </cell>
        </row>
        <row r="90">
          <cell r="I90">
            <v>144166</v>
          </cell>
        </row>
        <row r="91">
          <cell r="B91" t="str">
            <v>Mini</v>
          </cell>
        </row>
        <row r="91">
          <cell r="D91" t="str">
            <v>Silver Sonic</v>
          </cell>
        </row>
        <row r="91">
          <cell r="F91" t="str">
            <v>RM167</v>
          </cell>
          <cell r="G91">
            <v>330000</v>
          </cell>
        </row>
        <row r="91">
          <cell r="I91">
            <v>137500</v>
          </cell>
        </row>
        <row r="92">
          <cell r="B92" t="str">
            <v>Mini</v>
          </cell>
        </row>
        <row r="92">
          <cell r="D92" t="str">
            <v>Scarlet (Pizza)</v>
          </cell>
        </row>
        <row r="92">
          <cell r="F92" t="str">
            <v>RM205</v>
          </cell>
          <cell r="G92">
            <v>164303.5</v>
          </cell>
        </row>
        <row r="92">
          <cell r="I92">
            <v>68459</v>
          </cell>
        </row>
        <row r="93">
          <cell r="B93" t="str">
            <v>Mini</v>
          </cell>
        </row>
        <row r="93">
          <cell r="D93" t="str">
            <v>Sepia (Dirty Potatoes)</v>
          </cell>
        </row>
        <row r="93">
          <cell r="F93" t="str">
            <v>RM206</v>
          </cell>
          <cell r="G93">
            <v>170753.5</v>
          </cell>
        </row>
        <row r="93">
          <cell r="I93">
            <v>71147</v>
          </cell>
        </row>
        <row r="94">
          <cell r="B94" t="str">
            <v>Mini</v>
          </cell>
        </row>
        <row r="94">
          <cell r="D94" t="str">
            <v>Yellow Green 
(Old Rotten Tooth)</v>
          </cell>
        </row>
        <row r="94">
          <cell r="F94" t="str">
            <v>RM207</v>
          </cell>
          <cell r="G94">
            <v>170053.5</v>
          </cell>
        </row>
        <row r="94">
          <cell r="I94">
            <v>70855</v>
          </cell>
        </row>
        <row r="95">
          <cell r="B95" t="str">
            <v>Mini</v>
          </cell>
        </row>
        <row r="95">
          <cell r="D95" t="str">
            <v>Yellow (Onion)</v>
          </cell>
        </row>
        <row r="95">
          <cell r="F95" t="str">
            <v>RM208</v>
          </cell>
          <cell r="G95">
            <v>169103.5</v>
          </cell>
        </row>
        <row r="95">
          <cell r="I95">
            <v>70459</v>
          </cell>
        </row>
        <row r="96">
          <cell r="B96" t="str">
            <v>Mini</v>
          </cell>
        </row>
        <row r="96">
          <cell r="D96" t="str">
            <v>Violet</v>
          </cell>
        </row>
        <row r="96">
          <cell r="F96" t="str">
            <v>RM209</v>
          </cell>
          <cell r="G96">
            <v>165323.5</v>
          </cell>
        </row>
        <row r="96">
          <cell r="I96">
            <v>68884</v>
          </cell>
        </row>
        <row r="97">
          <cell r="B97" t="str">
            <v>Mini</v>
          </cell>
        </row>
        <row r="97">
          <cell r="D97" t="str">
            <v>Carnation Pink</v>
          </cell>
        </row>
        <row r="97">
          <cell r="F97" t="str">
            <v>RM210</v>
          </cell>
          <cell r="G97">
            <v>174573.5</v>
          </cell>
        </row>
        <row r="97">
          <cell r="I97">
            <v>72738</v>
          </cell>
        </row>
        <row r="98">
          <cell r="B98" t="str">
            <v>Mini</v>
          </cell>
        </row>
        <row r="98">
          <cell r="D98" t="str">
            <v>Blue</v>
          </cell>
        </row>
        <row r="98">
          <cell r="F98" t="str">
            <v>RM2E001</v>
          </cell>
          <cell r="G98">
            <v>173373.5</v>
          </cell>
        </row>
        <row r="98">
          <cell r="I98">
            <v>72238</v>
          </cell>
        </row>
        <row r="99">
          <cell r="B99" t="str">
            <v>Mini</v>
          </cell>
        </row>
        <row r="99">
          <cell r="D99" t="str">
            <v>Red</v>
          </cell>
        </row>
        <row r="99">
          <cell r="F99" t="str">
            <v>RM2E002</v>
          </cell>
          <cell r="G99">
            <v>170763.5</v>
          </cell>
        </row>
        <row r="99">
          <cell r="I99">
            <v>71151</v>
          </cell>
        </row>
        <row r="100">
          <cell r="B100" t="str">
            <v>Mini</v>
          </cell>
        </row>
        <row r="100">
          <cell r="D100" t="str">
            <v>Green</v>
          </cell>
        </row>
        <row r="100">
          <cell r="F100" t="str">
            <v>RM2E003</v>
          </cell>
          <cell r="G100">
            <v>172953.5</v>
          </cell>
        </row>
        <row r="100">
          <cell r="I100">
            <v>72063</v>
          </cell>
        </row>
        <row r="101">
          <cell r="B101" t="str">
            <v>Mini</v>
          </cell>
        </row>
        <row r="101">
          <cell r="D101" t="str">
            <v>Black</v>
          </cell>
        </row>
        <row r="101">
          <cell r="F101" t="str">
            <v>RM2E004</v>
          </cell>
          <cell r="G101">
            <v>174933.5</v>
          </cell>
        </row>
        <row r="101">
          <cell r="I101">
            <v>72888</v>
          </cell>
        </row>
        <row r="102">
          <cell r="B102" t="str">
            <v>Mini</v>
          </cell>
        </row>
        <row r="102">
          <cell r="D102" t="str">
            <v>Gray</v>
          </cell>
        </row>
        <row r="102">
          <cell r="F102" t="str">
            <v>RM2E005</v>
          </cell>
          <cell r="G102">
            <v>184683.5</v>
          </cell>
        </row>
        <row r="102">
          <cell r="I102">
            <v>76951</v>
          </cell>
        </row>
        <row r="103">
          <cell r="B103" t="str">
            <v>Mini</v>
          </cell>
        </row>
        <row r="103">
          <cell r="D103" t="str">
            <v>Cerulean</v>
          </cell>
        </row>
        <row r="103">
          <cell r="F103" t="str">
            <v>RM2E006</v>
          </cell>
          <cell r="G103">
            <v>179093.5</v>
          </cell>
        </row>
        <row r="103">
          <cell r="I103">
            <v>74622</v>
          </cell>
        </row>
        <row r="104">
          <cell r="B104" t="str">
            <v>Mini</v>
          </cell>
        </row>
        <row r="104">
          <cell r="D104" t="str">
            <v>Scarlet</v>
          </cell>
        </row>
        <row r="104">
          <cell r="F104" t="str">
            <v>RM2E007</v>
          </cell>
          <cell r="G104">
            <v>169203.5</v>
          </cell>
        </row>
        <row r="104">
          <cell r="I104">
            <v>70501</v>
          </cell>
        </row>
        <row r="105">
          <cell r="B105" t="str">
            <v>Mini</v>
          </cell>
        </row>
        <row r="105">
          <cell r="D105" t="str">
            <v>Yellow</v>
          </cell>
        </row>
        <row r="105">
          <cell r="F105" t="str">
            <v>RM2E008</v>
          </cell>
          <cell r="G105">
            <v>174203.5</v>
          </cell>
        </row>
        <row r="105">
          <cell r="I105">
            <v>72584</v>
          </cell>
        </row>
        <row r="106">
          <cell r="B106" t="str">
            <v>Mini</v>
          </cell>
        </row>
        <row r="106">
          <cell r="D106" t="str">
            <v>Mahogany</v>
          </cell>
        </row>
        <row r="106">
          <cell r="F106" t="str">
            <v>RM2E009</v>
          </cell>
          <cell r="G106">
            <v>172433.5</v>
          </cell>
        </row>
        <row r="106">
          <cell r="I106">
            <v>71847</v>
          </cell>
        </row>
        <row r="107">
          <cell r="B107" t="str">
            <v>Mini</v>
          </cell>
        </row>
        <row r="107">
          <cell r="D107" t="str">
            <v>Yellow Green</v>
          </cell>
        </row>
        <row r="107">
          <cell r="F107" t="str">
            <v>RM2E010</v>
          </cell>
          <cell r="G107">
            <v>175193.5</v>
          </cell>
        </row>
        <row r="107">
          <cell r="I107">
            <v>72997</v>
          </cell>
        </row>
        <row r="108">
          <cell r="B108" t="str">
            <v>Mini</v>
          </cell>
        </row>
        <row r="108">
          <cell r="D108" t="str">
            <v>Dandelion</v>
          </cell>
        </row>
        <row r="108">
          <cell r="F108" t="str">
            <v>RM2E011</v>
          </cell>
          <cell r="G108">
            <v>172203.5</v>
          </cell>
        </row>
        <row r="108">
          <cell r="I108">
            <v>71751</v>
          </cell>
        </row>
        <row r="109">
          <cell r="B109" t="str">
            <v>Mini</v>
          </cell>
        </row>
        <row r="109">
          <cell r="D109" t="str">
            <v>Blue Green</v>
          </cell>
        </row>
        <row r="109">
          <cell r="F109" t="str">
            <v>RM2E012</v>
          </cell>
          <cell r="G109">
            <v>177633.5</v>
          </cell>
        </row>
        <row r="109">
          <cell r="I109">
            <v>74013</v>
          </cell>
        </row>
        <row r="110">
          <cell r="B110" t="str">
            <v>Mini</v>
          </cell>
        </row>
        <row r="110">
          <cell r="D110" t="str">
            <v>Blue Violet</v>
          </cell>
        </row>
        <row r="110">
          <cell r="F110" t="str">
            <v>RM2E013</v>
          </cell>
          <cell r="G110">
            <v>165623.5</v>
          </cell>
        </row>
        <row r="110">
          <cell r="I110">
            <v>69009</v>
          </cell>
        </row>
        <row r="111">
          <cell r="B111" t="str">
            <v>Mini</v>
          </cell>
        </row>
        <row r="111">
          <cell r="D111" t="str">
            <v>Melon</v>
          </cell>
        </row>
        <row r="111">
          <cell r="F111" t="str">
            <v>RM2E014</v>
          </cell>
          <cell r="G111">
            <v>170863.5</v>
          </cell>
        </row>
        <row r="111">
          <cell r="I111">
            <v>71193</v>
          </cell>
        </row>
        <row r="112">
          <cell r="B112" t="str">
            <v>Mini</v>
          </cell>
        </row>
        <row r="112">
          <cell r="D112" t="str">
            <v>White</v>
          </cell>
        </row>
        <row r="112">
          <cell r="F112" t="str">
            <v>RM2E015</v>
          </cell>
          <cell r="G112">
            <v>178883.5</v>
          </cell>
        </row>
        <row r="112">
          <cell r="I112">
            <v>74534</v>
          </cell>
        </row>
        <row r="113">
          <cell r="B113" t="str">
            <v>Mini</v>
          </cell>
        </row>
        <row r="113">
          <cell r="D113" t="str">
            <v>Timberwolf</v>
          </cell>
        </row>
        <row r="113">
          <cell r="F113" t="str">
            <v>RM2E016</v>
          </cell>
          <cell r="G113">
            <v>181693.5</v>
          </cell>
        </row>
        <row r="113">
          <cell r="I113">
            <v>75705</v>
          </cell>
        </row>
        <row r="114">
          <cell r="B114" t="str">
            <v>Mini</v>
          </cell>
        </row>
        <row r="114">
          <cell r="D114" t="str">
            <v>Razzmatazz</v>
          </cell>
        </row>
        <row r="114">
          <cell r="F114" t="str">
            <v>RM2E017</v>
          </cell>
          <cell r="G114">
            <v>166503.5</v>
          </cell>
        </row>
        <row r="114">
          <cell r="I114">
            <v>69376</v>
          </cell>
        </row>
        <row r="115">
          <cell r="B115" t="str">
            <v>Mini</v>
          </cell>
        </row>
        <row r="115">
          <cell r="D115" t="str">
            <v>Burnt Sienna</v>
          </cell>
        </row>
        <row r="115">
          <cell r="F115" t="str">
            <v>RM2E018</v>
          </cell>
          <cell r="G115">
            <v>169003.5</v>
          </cell>
        </row>
        <row r="115">
          <cell r="I115">
            <v>70418</v>
          </cell>
        </row>
        <row r="116">
          <cell r="B116" t="str">
            <v>Mini</v>
          </cell>
        </row>
        <row r="116">
          <cell r="D116" t="str">
            <v>Peach</v>
          </cell>
        </row>
        <row r="116">
          <cell r="F116" t="str">
            <v>RM2E019</v>
          </cell>
          <cell r="G116">
            <v>177933.5</v>
          </cell>
        </row>
        <row r="116">
          <cell r="I116">
            <v>74138</v>
          </cell>
        </row>
        <row r="117">
          <cell r="B117" t="str">
            <v>Mini</v>
          </cell>
        </row>
        <row r="117">
          <cell r="D117" t="str">
            <v>Spring Green</v>
          </cell>
        </row>
        <row r="117">
          <cell r="F117" t="str">
            <v>RM2E020</v>
          </cell>
          <cell r="G117">
            <v>168673.5</v>
          </cell>
        </row>
        <row r="117">
          <cell r="I117">
            <v>70280</v>
          </cell>
        </row>
        <row r="118">
          <cell r="B118" t="str">
            <v>Mini</v>
          </cell>
        </row>
        <row r="118">
          <cell r="D118" t="str">
            <v>Bluetiful</v>
          </cell>
        </row>
        <row r="118">
          <cell r="F118" t="str">
            <v>RM2E021</v>
          </cell>
          <cell r="G118">
            <v>169373.5</v>
          </cell>
        </row>
        <row r="118">
          <cell r="I118">
            <v>70572</v>
          </cell>
        </row>
        <row r="119">
          <cell r="B119" t="str">
            <v>Mini</v>
          </cell>
        </row>
        <row r="119">
          <cell r="D119" t="str">
            <v>Macaroni &amp; Cheese</v>
          </cell>
        </row>
        <row r="119">
          <cell r="F119" t="str">
            <v>RM2E022</v>
          </cell>
          <cell r="G119">
            <v>172123.5</v>
          </cell>
        </row>
        <row r="119">
          <cell r="I119">
            <v>71718</v>
          </cell>
        </row>
        <row r="120">
          <cell r="B120" t="str">
            <v>Mini</v>
          </cell>
        </row>
        <row r="120">
          <cell r="D120" t="str">
            <v>Scarlet</v>
          </cell>
        </row>
        <row r="120">
          <cell r="F120" t="str">
            <v>RM301</v>
          </cell>
          <cell r="G120">
            <v>168403.5</v>
          </cell>
        </row>
        <row r="120">
          <cell r="I120">
            <v>70168</v>
          </cell>
        </row>
        <row r="121">
          <cell r="B121" t="str">
            <v>Mini</v>
          </cell>
        </row>
        <row r="121">
          <cell r="D121" t="str">
            <v>Red</v>
          </cell>
        </row>
        <row r="121">
          <cell r="F121" t="str">
            <v>RM302</v>
          </cell>
          <cell r="G121">
            <v>169943.5</v>
          </cell>
        </row>
        <row r="121">
          <cell r="I121">
            <v>70809</v>
          </cell>
        </row>
        <row r="122">
          <cell r="B122" t="str">
            <v>Mini</v>
          </cell>
        </row>
        <row r="122">
          <cell r="D122" t="str">
            <v>Orange</v>
          </cell>
        </row>
        <row r="122">
          <cell r="F122" t="str">
            <v>RM303</v>
          </cell>
          <cell r="G122">
            <v>164763.5</v>
          </cell>
        </row>
        <row r="122">
          <cell r="I122">
            <v>68651</v>
          </cell>
        </row>
        <row r="123">
          <cell r="B123" t="str">
            <v>Mini</v>
          </cell>
        </row>
        <row r="123">
          <cell r="D123" t="str">
            <v>Yellow Orange</v>
          </cell>
        </row>
        <row r="123">
          <cell r="F123" t="str">
            <v>RM304</v>
          </cell>
          <cell r="G123">
            <v>166943.5</v>
          </cell>
        </row>
        <row r="123">
          <cell r="I123">
            <v>69559</v>
          </cell>
        </row>
        <row r="124">
          <cell r="B124" t="str">
            <v>Mini</v>
          </cell>
        </row>
        <row r="124">
          <cell r="D124" t="str">
            <v>Yellow</v>
          </cell>
        </row>
        <row r="124">
          <cell r="F124" t="str">
            <v>RM305</v>
          </cell>
          <cell r="G124">
            <v>173363.5</v>
          </cell>
        </row>
        <row r="124">
          <cell r="I124">
            <v>72234</v>
          </cell>
        </row>
        <row r="125">
          <cell r="B125" t="str">
            <v>Mini</v>
          </cell>
        </row>
        <row r="125">
          <cell r="D125" t="str">
            <v>F. Yellow</v>
          </cell>
        </row>
        <row r="125">
          <cell r="F125" t="str">
            <v>RM306</v>
          </cell>
          <cell r="G125">
            <v>183703.5</v>
          </cell>
        </row>
        <row r="125">
          <cell r="I125">
            <v>76543</v>
          </cell>
        </row>
        <row r="126">
          <cell r="B126" t="str">
            <v>Mini</v>
          </cell>
        </row>
        <row r="126">
          <cell r="D126" t="str">
            <v>Spring Green</v>
          </cell>
        </row>
        <row r="126">
          <cell r="F126" t="str">
            <v>RM307</v>
          </cell>
          <cell r="G126">
            <v>167873.5</v>
          </cell>
        </row>
        <row r="126">
          <cell r="I126">
            <v>69947</v>
          </cell>
        </row>
        <row r="127">
          <cell r="B127" t="str">
            <v>Mini</v>
          </cell>
        </row>
        <row r="127">
          <cell r="D127" t="str">
            <v>Yellow Green</v>
          </cell>
        </row>
        <row r="127">
          <cell r="F127" t="str">
            <v>RM308</v>
          </cell>
          <cell r="G127">
            <v>174353.5</v>
          </cell>
        </row>
        <row r="127">
          <cell r="I127">
            <v>72647</v>
          </cell>
        </row>
        <row r="128">
          <cell r="B128" t="str">
            <v>Mini</v>
          </cell>
        </row>
        <row r="128">
          <cell r="D128" t="str">
            <v>Green</v>
          </cell>
        </row>
        <row r="128">
          <cell r="F128" t="str">
            <v>RM309</v>
          </cell>
          <cell r="G128">
            <v>171283.5</v>
          </cell>
        </row>
        <row r="128">
          <cell r="I128">
            <v>71368</v>
          </cell>
        </row>
        <row r="129">
          <cell r="B129" t="str">
            <v>Mini</v>
          </cell>
        </row>
        <row r="129">
          <cell r="D129" t="str">
            <v>Granny S.Apple</v>
          </cell>
        </row>
        <row r="129">
          <cell r="F129" t="str">
            <v>RM310</v>
          </cell>
          <cell r="G129">
            <v>171403.5</v>
          </cell>
        </row>
        <row r="129">
          <cell r="I129">
            <v>71418</v>
          </cell>
        </row>
        <row r="130">
          <cell r="B130" t="str">
            <v>Mini</v>
          </cell>
        </row>
        <row r="130">
          <cell r="D130" t="str">
            <v>Blue</v>
          </cell>
        </row>
        <row r="130">
          <cell r="F130" t="str">
            <v>RM311</v>
          </cell>
          <cell r="G130">
            <v>171843</v>
          </cell>
        </row>
        <row r="130">
          <cell r="I130">
            <v>74714</v>
          </cell>
        </row>
        <row r="131">
          <cell r="B131" t="str">
            <v>Mini</v>
          </cell>
        </row>
        <row r="131">
          <cell r="D131" t="str">
            <v>F. Blue</v>
          </cell>
        </row>
        <row r="131">
          <cell r="F131" t="str">
            <v>RM312</v>
          </cell>
          <cell r="G131">
            <v>174703.5</v>
          </cell>
        </row>
        <row r="131">
          <cell r="I131">
            <v>79410</v>
          </cell>
        </row>
        <row r="132">
          <cell r="B132" t="str">
            <v>Mini</v>
          </cell>
        </row>
        <row r="132">
          <cell r="D132" t="str">
            <v>Blue Violet</v>
          </cell>
        </row>
        <row r="132">
          <cell r="F132" t="str">
            <v>RM313</v>
          </cell>
          <cell r="G132">
            <v>164813.5</v>
          </cell>
        </row>
        <row r="132">
          <cell r="I132">
            <v>74915</v>
          </cell>
        </row>
        <row r="133">
          <cell r="B133" t="str">
            <v>Mini</v>
          </cell>
        </row>
        <row r="133">
          <cell r="D133" t="str">
            <v>Violet</v>
          </cell>
        </row>
        <row r="133">
          <cell r="F133" t="str">
            <v>RM314</v>
          </cell>
          <cell r="G133">
            <v>164523.5</v>
          </cell>
        </row>
        <row r="133">
          <cell r="I133">
            <v>74783</v>
          </cell>
        </row>
        <row r="134">
          <cell r="B134" t="str">
            <v>Mini</v>
          </cell>
        </row>
        <row r="134">
          <cell r="D134" t="str">
            <v>Carnation Pink</v>
          </cell>
        </row>
        <row r="134">
          <cell r="F134" t="str">
            <v>RM315</v>
          </cell>
          <cell r="G134">
            <v>174583.5</v>
          </cell>
        </row>
        <row r="134">
          <cell r="I134">
            <v>72743</v>
          </cell>
        </row>
        <row r="135">
          <cell r="B135" t="str">
            <v>Mini</v>
          </cell>
        </row>
        <row r="135">
          <cell r="D135" t="str">
            <v>Salmon</v>
          </cell>
        </row>
        <row r="135">
          <cell r="F135" t="str">
            <v>RM316</v>
          </cell>
          <cell r="G135">
            <v>169943.5</v>
          </cell>
        </row>
        <row r="135">
          <cell r="I135">
            <v>70809</v>
          </cell>
        </row>
        <row r="136">
          <cell r="B136" t="str">
            <v>Mini</v>
          </cell>
        </row>
        <row r="136">
          <cell r="D136" t="str">
            <v>Peach</v>
          </cell>
        </row>
        <row r="136">
          <cell r="F136" t="str">
            <v>RM317</v>
          </cell>
          <cell r="G136">
            <v>177073.5</v>
          </cell>
        </row>
        <row r="136">
          <cell r="I136">
            <v>73780</v>
          </cell>
        </row>
        <row r="137">
          <cell r="B137" t="str">
            <v>Mini</v>
          </cell>
        </row>
        <row r="137">
          <cell r="D137" t="str">
            <v>Apricot</v>
          </cell>
        </row>
        <row r="137">
          <cell r="F137" t="str">
            <v>RM318</v>
          </cell>
          <cell r="G137">
            <v>182023.5</v>
          </cell>
        </row>
        <row r="137">
          <cell r="I137">
            <v>75843</v>
          </cell>
        </row>
        <row r="138">
          <cell r="B138" t="str">
            <v>Mini</v>
          </cell>
        </row>
        <row r="138">
          <cell r="D138" t="str">
            <v>Golden Rod</v>
          </cell>
        </row>
        <row r="138">
          <cell r="F138" t="str">
            <v>RM319</v>
          </cell>
          <cell r="G138">
            <v>166883.5</v>
          </cell>
        </row>
        <row r="138">
          <cell r="I138">
            <v>69534</v>
          </cell>
        </row>
        <row r="139">
          <cell r="B139" t="str">
            <v>Mini</v>
          </cell>
        </row>
        <row r="139">
          <cell r="D139" t="str">
            <v>Tan</v>
          </cell>
        </row>
        <row r="139">
          <cell r="F139" t="str">
            <v>RM320</v>
          </cell>
          <cell r="G139">
            <v>166273.5</v>
          </cell>
        </row>
        <row r="139">
          <cell r="I139">
            <v>72292</v>
          </cell>
        </row>
        <row r="140">
          <cell r="B140" t="str">
            <v>Mini</v>
          </cell>
        </row>
        <row r="140">
          <cell r="D140" t="str">
            <v>Brown</v>
          </cell>
        </row>
        <row r="140">
          <cell r="F140" t="str">
            <v>RM321</v>
          </cell>
          <cell r="G140">
            <v>174403.5</v>
          </cell>
        </row>
        <row r="140">
          <cell r="I140">
            <v>72668</v>
          </cell>
        </row>
        <row r="141">
          <cell r="B141" t="str">
            <v>Mini</v>
          </cell>
        </row>
        <row r="141">
          <cell r="D141" t="str">
            <v>Black</v>
          </cell>
        </row>
        <row r="141">
          <cell r="F141" t="str">
            <v>RM322</v>
          </cell>
          <cell r="G141">
            <v>178363.5</v>
          </cell>
        </row>
        <row r="141">
          <cell r="I141">
            <v>74318</v>
          </cell>
        </row>
        <row r="142">
          <cell r="B142" t="str">
            <v>Mini</v>
          </cell>
        </row>
        <row r="142">
          <cell r="D142" t="str">
            <v>Gray</v>
          </cell>
        </row>
        <row r="142">
          <cell r="F142" t="str">
            <v>RM323</v>
          </cell>
          <cell r="G142">
            <v>183783.5</v>
          </cell>
        </row>
        <row r="142">
          <cell r="I142">
            <v>76576</v>
          </cell>
        </row>
        <row r="143">
          <cell r="B143" t="str">
            <v>Mini</v>
          </cell>
        </row>
        <row r="143">
          <cell r="D143" t="str">
            <v>White</v>
          </cell>
        </row>
        <row r="143">
          <cell r="F143" t="str">
            <v>RM324</v>
          </cell>
          <cell r="G143">
            <v>178023.5</v>
          </cell>
        </row>
        <row r="143">
          <cell r="I143">
            <v>77401</v>
          </cell>
        </row>
        <row r="144">
          <cell r="B144" t="str">
            <v>Rainbow</v>
          </cell>
        </row>
        <row r="144">
          <cell r="D144" t="str">
            <v>1.Black (Fireworks)</v>
          </cell>
        </row>
        <row r="144">
          <cell r="F144" t="str">
            <v>RMRB1</v>
          </cell>
          <cell r="G144">
            <v>3</v>
          </cell>
        </row>
        <row r="144">
          <cell r="I144">
            <v>1</v>
          </cell>
        </row>
        <row r="145">
          <cell r="B145" t="str">
            <v>Rainbow</v>
          </cell>
        </row>
        <row r="145">
          <cell r="D145" t="str">
            <v>1.Black (Fireworks)</v>
          </cell>
        </row>
        <row r="145">
          <cell r="F145" t="str">
            <v>RMRB1</v>
          </cell>
          <cell r="G145">
            <v>3</v>
          </cell>
        </row>
        <row r="145">
          <cell r="I145">
            <v>1</v>
          </cell>
        </row>
        <row r="146">
          <cell r="B146" t="str">
            <v>Rainbow</v>
          </cell>
        </row>
        <row r="146">
          <cell r="D146" t="str">
            <v>1.Black (Fireworks)</v>
          </cell>
        </row>
        <row r="146">
          <cell r="F146" t="str">
            <v>RMRB1</v>
          </cell>
          <cell r="G146">
            <v>3</v>
          </cell>
        </row>
        <row r="146">
          <cell r="I146">
            <v>1</v>
          </cell>
        </row>
        <row r="147">
          <cell r="B147" t="str">
            <v>Rainbow</v>
          </cell>
        </row>
        <row r="147">
          <cell r="D147" t="str">
            <v>1.Black (Fireworks)</v>
          </cell>
        </row>
        <row r="147">
          <cell r="F147" t="str">
            <v>RMRB1</v>
          </cell>
          <cell r="G147">
            <v>3</v>
          </cell>
        </row>
        <row r="147">
          <cell r="I147">
            <v>1</v>
          </cell>
        </row>
        <row r="148">
          <cell r="B148" t="str">
            <v>Rainbow</v>
          </cell>
        </row>
        <row r="148">
          <cell r="D148" t="str">
            <v>10.Peach (Meteor Shower)</v>
          </cell>
        </row>
        <row r="148">
          <cell r="F148" t="str">
            <v>RMRB10</v>
          </cell>
          <cell r="G148">
            <v>3</v>
          </cell>
        </row>
        <row r="148">
          <cell r="I148">
            <v>1</v>
          </cell>
        </row>
        <row r="149">
          <cell r="B149" t="str">
            <v>Rainbow</v>
          </cell>
        </row>
        <row r="149">
          <cell r="D149" t="str">
            <v>10.Peach (Meteor Shower)</v>
          </cell>
        </row>
        <row r="149">
          <cell r="F149" t="str">
            <v>RMRB10</v>
          </cell>
          <cell r="G149">
            <v>3</v>
          </cell>
        </row>
        <row r="149">
          <cell r="I149">
            <v>1</v>
          </cell>
        </row>
        <row r="150">
          <cell r="B150" t="str">
            <v>Rainbow</v>
          </cell>
        </row>
        <row r="150">
          <cell r="D150" t="str">
            <v>10.Peach (Meteor Shower)</v>
          </cell>
        </row>
        <row r="150">
          <cell r="F150" t="str">
            <v>RMRB10</v>
          </cell>
          <cell r="G150">
            <v>3</v>
          </cell>
        </row>
        <row r="150">
          <cell r="I150">
            <v>1</v>
          </cell>
        </row>
        <row r="151">
          <cell r="B151" t="str">
            <v>Rainbow</v>
          </cell>
        </row>
        <row r="151">
          <cell r="D151" t="str">
            <v>10.Peach (Meteor Shower)</v>
          </cell>
        </row>
        <row r="151">
          <cell r="F151" t="str">
            <v>RMRB10</v>
          </cell>
          <cell r="G151">
            <v>3</v>
          </cell>
        </row>
        <row r="151">
          <cell r="I151">
            <v>1</v>
          </cell>
        </row>
        <row r="152">
          <cell r="B152" t="str">
            <v>Rainbow</v>
          </cell>
        </row>
        <row r="152">
          <cell r="D152" t="str">
            <v>2.Red (Campfire Jamboree)</v>
          </cell>
        </row>
        <row r="152">
          <cell r="F152" t="str">
            <v>RMRB2</v>
          </cell>
          <cell r="G152">
            <v>3</v>
          </cell>
        </row>
        <row r="152">
          <cell r="I152">
            <v>1</v>
          </cell>
        </row>
        <row r="153">
          <cell r="B153" t="str">
            <v>Rainbow</v>
          </cell>
        </row>
        <row r="153">
          <cell r="D153" t="str">
            <v>2.Red (Campfire Jamboree)</v>
          </cell>
        </row>
        <row r="153">
          <cell r="F153" t="str">
            <v>RMRB2</v>
          </cell>
          <cell r="G153">
            <v>3</v>
          </cell>
        </row>
        <row r="153">
          <cell r="I153">
            <v>1</v>
          </cell>
        </row>
        <row r="154">
          <cell r="B154" t="str">
            <v>Rainbow</v>
          </cell>
        </row>
        <row r="154">
          <cell r="D154" t="str">
            <v>2.Red (Campfire Jamboree)</v>
          </cell>
        </row>
        <row r="154">
          <cell r="F154" t="str">
            <v>RMRB2</v>
          </cell>
          <cell r="G154">
            <v>3</v>
          </cell>
        </row>
        <row r="154">
          <cell r="I154">
            <v>1</v>
          </cell>
        </row>
        <row r="155">
          <cell r="B155" t="str">
            <v>Rainbow</v>
          </cell>
        </row>
        <row r="155">
          <cell r="D155" t="str">
            <v>2.Red (Campfire Jamboree)</v>
          </cell>
        </row>
        <row r="155">
          <cell r="F155" t="str">
            <v>RMRB2</v>
          </cell>
          <cell r="G155">
            <v>3</v>
          </cell>
        </row>
        <row r="155">
          <cell r="I155">
            <v>1</v>
          </cell>
        </row>
        <row r="156">
          <cell r="B156" t="str">
            <v>Rainbow</v>
          </cell>
        </row>
        <row r="156">
          <cell r="D156" t="str">
            <v>3.Violet (New Years Eve)</v>
          </cell>
        </row>
        <row r="156">
          <cell r="F156" t="str">
            <v>RMRB3</v>
          </cell>
          <cell r="G156">
            <v>3</v>
          </cell>
        </row>
        <row r="156">
          <cell r="I156">
            <v>1</v>
          </cell>
        </row>
        <row r="157">
          <cell r="B157" t="str">
            <v>Rainbow</v>
          </cell>
        </row>
        <row r="157">
          <cell r="D157" t="str">
            <v>3.Violet (New Years Eve)</v>
          </cell>
        </row>
        <row r="157">
          <cell r="F157" t="str">
            <v>RMRB3</v>
          </cell>
          <cell r="G157">
            <v>3</v>
          </cell>
        </row>
        <row r="157">
          <cell r="I157">
            <v>1</v>
          </cell>
        </row>
        <row r="158">
          <cell r="B158" t="str">
            <v>Rainbow</v>
          </cell>
        </row>
        <row r="158">
          <cell r="D158" t="str">
            <v>3.Violet (New Years Eve)</v>
          </cell>
        </row>
        <row r="158">
          <cell r="F158" t="str">
            <v>RMRB3</v>
          </cell>
          <cell r="G158">
            <v>3</v>
          </cell>
        </row>
        <row r="158">
          <cell r="I158">
            <v>1</v>
          </cell>
        </row>
        <row r="159">
          <cell r="B159" t="str">
            <v>Rainbow</v>
          </cell>
        </row>
        <row r="159">
          <cell r="D159" t="str">
            <v>3.Violet (New Years Eve)</v>
          </cell>
        </row>
        <row r="159">
          <cell r="F159" t="str">
            <v>RMRB3</v>
          </cell>
          <cell r="G159">
            <v>3</v>
          </cell>
        </row>
        <row r="159">
          <cell r="I159">
            <v>1</v>
          </cell>
        </row>
        <row r="160">
          <cell r="B160" t="str">
            <v>Rainbow</v>
          </cell>
        </row>
        <row r="160">
          <cell r="D160" t="str">
            <v>4.Yellow (Lime-A-Palooza)</v>
          </cell>
        </row>
        <row r="160">
          <cell r="F160" t="str">
            <v>RMRB4</v>
          </cell>
          <cell r="G160">
            <v>3</v>
          </cell>
        </row>
        <row r="160">
          <cell r="I160">
            <v>1</v>
          </cell>
        </row>
        <row r="161">
          <cell r="B161" t="str">
            <v>Rainbow</v>
          </cell>
        </row>
        <row r="161">
          <cell r="D161" t="str">
            <v>4.Yellow (Lime-A-Palooza)</v>
          </cell>
        </row>
        <row r="161">
          <cell r="F161" t="str">
            <v>RMRB4</v>
          </cell>
          <cell r="G161">
            <v>3</v>
          </cell>
        </row>
        <row r="161">
          <cell r="I161">
            <v>1</v>
          </cell>
        </row>
        <row r="162">
          <cell r="B162" t="str">
            <v>Rainbow</v>
          </cell>
        </row>
        <row r="162">
          <cell r="D162" t="str">
            <v>4.Yellow (Lime-A-Palooza)</v>
          </cell>
        </row>
        <row r="162">
          <cell r="F162" t="str">
            <v>RMRB4</v>
          </cell>
          <cell r="G162">
            <v>3</v>
          </cell>
        </row>
        <row r="162">
          <cell r="I162">
            <v>1</v>
          </cell>
        </row>
        <row r="163">
          <cell r="B163" t="str">
            <v>Rainbow</v>
          </cell>
        </row>
        <row r="163">
          <cell r="D163" t="str">
            <v>4.Yellow (Lime-A-Palooza)</v>
          </cell>
        </row>
        <row r="163">
          <cell r="F163" t="str">
            <v>RMRB4</v>
          </cell>
          <cell r="G163">
            <v>3</v>
          </cell>
        </row>
        <row r="163">
          <cell r="I163">
            <v>1</v>
          </cell>
        </row>
        <row r="164">
          <cell r="B164" t="str">
            <v>Rainbow</v>
          </cell>
        </row>
        <row r="164">
          <cell r="D164" t="str">
            <v>5.Blue (Raindrops)</v>
          </cell>
        </row>
        <row r="164">
          <cell r="F164" t="str">
            <v>RMRB5</v>
          </cell>
          <cell r="G164">
            <v>3</v>
          </cell>
        </row>
        <row r="164">
          <cell r="I164">
            <v>1</v>
          </cell>
        </row>
        <row r="165">
          <cell r="B165" t="str">
            <v>Rainbow</v>
          </cell>
        </row>
        <row r="165">
          <cell r="D165" t="str">
            <v>5.Blue (Raindrops)</v>
          </cell>
        </row>
        <row r="165">
          <cell r="F165" t="str">
            <v>RMRB5</v>
          </cell>
          <cell r="G165">
            <v>3</v>
          </cell>
        </row>
        <row r="165">
          <cell r="I165">
            <v>1</v>
          </cell>
        </row>
        <row r="166">
          <cell r="B166" t="str">
            <v>Rainbow</v>
          </cell>
        </row>
        <row r="166">
          <cell r="D166" t="str">
            <v>5.Blue (Raindrops)</v>
          </cell>
        </row>
        <row r="166">
          <cell r="F166" t="str">
            <v>RMRB5</v>
          </cell>
          <cell r="G166">
            <v>3</v>
          </cell>
        </row>
        <row r="166">
          <cell r="I166">
            <v>1</v>
          </cell>
        </row>
        <row r="167">
          <cell r="B167" t="str">
            <v>Rainbow</v>
          </cell>
        </row>
        <row r="167">
          <cell r="D167" t="str">
            <v>5.Blue (Raindrops)</v>
          </cell>
        </row>
        <row r="167">
          <cell r="F167" t="str">
            <v>RMRB5</v>
          </cell>
          <cell r="G167">
            <v>3</v>
          </cell>
        </row>
        <row r="167">
          <cell r="I167">
            <v>1</v>
          </cell>
        </row>
        <row r="168">
          <cell r="B168" t="str">
            <v>Rainbow</v>
          </cell>
        </row>
        <row r="168">
          <cell r="D168" t="str">
            <v>6.Blue Green (Choco Mint Candy)</v>
          </cell>
        </row>
        <row r="168">
          <cell r="F168" t="str">
            <v>RMRB6</v>
          </cell>
          <cell r="G168">
            <v>3</v>
          </cell>
        </row>
        <row r="168">
          <cell r="I168">
            <v>1</v>
          </cell>
        </row>
        <row r="169">
          <cell r="B169" t="str">
            <v>Rainbow</v>
          </cell>
        </row>
        <row r="169">
          <cell r="D169" t="str">
            <v>6.Blue Green (Choco Mint Candy)</v>
          </cell>
        </row>
        <row r="169">
          <cell r="F169" t="str">
            <v>RMRB6</v>
          </cell>
          <cell r="G169">
            <v>3</v>
          </cell>
        </row>
        <row r="169">
          <cell r="I169">
            <v>1</v>
          </cell>
        </row>
        <row r="170">
          <cell r="B170" t="str">
            <v>Rainbow</v>
          </cell>
        </row>
        <row r="170">
          <cell r="D170" t="str">
            <v>6.Blue Green (Choco Mint Candy)</v>
          </cell>
        </row>
        <row r="170">
          <cell r="F170" t="str">
            <v>RMRB6</v>
          </cell>
          <cell r="G170">
            <v>3</v>
          </cell>
        </row>
        <row r="170">
          <cell r="I170">
            <v>1</v>
          </cell>
        </row>
        <row r="171">
          <cell r="B171" t="str">
            <v>Rainbow</v>
          </cell>
        </row>
        <row r="171">
          <cell r="D171" t="str">
            <v>6.Blue Green (Choco Mint Candy)</v>
          </cell>
        </row>
        <row r="171">
          <cell r="F171" t="str">
            <v>RMRB6</v>
          </cell>
          <cell r="G171">
            <v>3</v>
          </cell>
        </row>
        <row r="171">
          <cell r="I171">
            <v>1</v>
          </cell>
        </row>
        <row r="172">
          <cell r="B172" t="str">
            <v>Rainbow</v>
          </cell>
        </row>
        <row r="172">
          <cell r="D172" t="str">
            <v>7.Brown (Flamingo Festival)</v>
          </cell>
        </row>
        <row r="172">
          <cell r="F172" t="str">
            <v>RMRB7</v>
          </cell>
          <cell r="G172">
            <v>3</v>
          </cell>
        </row>
        <row r="172">
          <cell r="I172">
            <v>1</v>
          </cell>
        </row>
        <row r="173">
          <cell r="B173" t="str">
            <v>Rainbow</v>
          </cell>
        </row>
        <row r="173">
          <cell r="D173" t="str">
            <v>7.Brown (Flamingo Festival)</v>
          </cell>
        </row>
        <row r="173">
          <cell r="F173" t="str">
            <v>RMRB7</v>
          </cell>
          <cell r="G173">
            <v>3</v>
          </cell>
        </row>
        <row r="173">
          <cell r="I173">
            <v>1</v>
          </cell>
        </row>
        <row r="174">
          <cell r="B174" t="str">
            <v>Rainbow</v>
          </cell>
        </row>
        <row r="174">
          <cell r="D174" t="str">
            <v>7.Brown (Flamingo Festival)</v>
          </cell>
        </row>
        <row r="174">
          <cell r="F174" t="str">
            <v>RMRB7</v>
          </cell>
          <cell r="G174">
            <v>3</v>
          </cell>
        </row>
        <row r="174">
          <cell r="I174">
            <v>1</v>
          </cell>
        </row>
        <row r="175">
          <cell r="B175" t="str">
            <v>Rainbow</v>
          </cell>
        </row>
        <row r="175">
          <cell r="D175" t="str">
            <v>7.Brown (Flamingo Festival)</v>
          </cell>
        </row>
        <row r="175">
          <cell r="F175" t="str">
            <v>RMRB7</v>
          </cell>
          <cell r="G175">
            <v>3</v>
          </cell>
        </row>
        <row r="175">
          <cell r="I175">
            <v>1</v>
          </cell>
        </row>
        <row r="176">
          <cell r="B176" t="str">
            <v>Rainbow</v>
          </cell>
        </row>
        <row r="176">
          <cell r="D176" t="str">
            <v>8.Orange (Sunset Luau)</v>
          </cell>
        </row>
        <row r="176">
          <cell r="F176" t="str">
            <v>RMRB8</v>
          </cell>
          <cell r="G176">
            <v>3</v>
          </cell>
        </row>
        <row r="176">
          <cell r="I176">
            <v>1</v>
          </cell>
        </row>
        <row r="177">
          <cell r="B177" t="str">
            <v>Rainbow</v>
          </cell>
        </row>
        <row r="177">
          <cell r="D177" t="str">
            <v>8.Orange (Sunset Luau)</v>
          </cell>
        </row>
        <row r="177">
          <cell r="F177" t="str">
            <v>RMRB8</v>
          </cell>
          <cell r="G177">
            <v>3</v>
          </cell>
        </row>
        <row r="177">
          <cell r="I177">
            <v>1</v>
          </cell>
        </row>
        <row r="178">
          <cell r="B178" t="str">
            <v>Rainbow</v>
          </cell>
        </row>
        <row r="178">
          <cell r="D178" t="str">
            <v>8.Orange (Sunset Luau)</v>
          </cell>
        </row>
        <row r="178">
          <cell r="F178" t="str">
            <v>RMRB8</v>
          </cell>
          <cell r="G178">
            <v>3</v>
          </cell>
        </row>
        <row r="178">
          <cell r="I178">
            <v>1</v>
          </cell>
        </row>
        <row r="179">
          <cell r="B179" t="str">
            <v>Rainbow</v>
          </cell>
        </row>
        <row r="179">
          <cell r="D179" t="str">
            <v>8.Orange (Sunset Luau)</v>
          </cell>
        </row>
        <row r="179">
          <cell r="F179" t="str">
            <v>RMRB8</v>
          </cell>
          <cell r="G179">
            <v>3</v>
          </cell>
        </row>
        <row r="179">
          <cell r="I179">
            <v>1</v>
          </cell>
        </row>
        <row r="180">
          <cell r="B180" t="str">
            <v>Rainbow</v>
          </cell>
        </row>
        <row r="180">
          <cell r="D180" t="str">
            <v>9.Green (Garden Soiree)</v>
          </cell>
        </row>
        <row r="180">
          <cell r="F180" t="str">
            <v>RMRB9</v>
          </cell>
          <cell r="G180">
            <v>3</v>
          </cell>
        </row>
        <row r="180">
          <cell r="I180">
            <v>1</v>
          </cell>
        </row>
        <row r="181">
          <cell r="B181" t="str">
            <v>Rainbow</v>
          </cell>
        </row>
        <row r="181">
          <cell r="D181" t="str">
            <v>9.Green (Garden Soiree)</v>
          </cell>
        </row>
        <row r="181">
          <cell r="F181" t="str">
            <v>RMRB9</v>
          </cell>
          <cell r="G181">
            <v>3</v>
          </cell>
        </row>
        <row r="181">
          <cell r="I181">
            <v>1</v>
          </cell>
        </row>
        <row r="182">
          <cell r="B182" t="str">
            <v>Rainbow</v>
          </cell>
        </row>
        <row r="182">
          <cell r="D182" t="str">
            <v>9.Green (Garden Soiree)</v>
          </cell>
        </row>
        <row r="182">
          <cell r="F182" t="str">
            <v>RMRB9</v>
          </cell>
          <cell r="G182">
            <v>3</v>
          </cell>
        </row>
        <row r="182">
          <cell r="I182">
            <v>1</v>
          </cell>
        </row>
        <row r="183">
          <cell r="B183" t="str">
            <v>Rainbow</v>
          </cell>
        </row>
        <row r="183">
          <cell r="D183" t="str">
            <v>9.Green (Garden Soiree)</v>
          </cell>
        </row>
        <row r="183">
          <cell r="F183" t="str">
            <v>RMRB9</v>
          </cell>
          <cell r="G183">
            <v>3</v>
          </cell>
        </row>
        <row r="183">
          <cell r="I183">
            <v>1</v>
          </cell>
        </row>
        <row r="184">
          <cell r="B184" t="str">
            <v>Pencil</v>
          </cell>
        </row>
        <row r="184">
          <cell r="D184" t="str">
            <v>Mahogany</v>
          </cell>
        </row>
        <row r="184">
          <cell r="F184" t="str">
            <v>RP001</v>
          </cell>
          <cell r="G184">
            <v>44750</v>
          </cell>
        </row>
        <row r="184">
          <cell r="I184">
            <v>81363</v>
          </cell>
        </row>
        <row r="185">
          <cell r="B185" t="str">
            <v>Pencil</v>
          </cell>
        </row>
        <row r="185">
          <cell r="D185" t="str">
            <v>Raspberry</v>
          </cell>
        </row>
        <row r="185">
          <cell r="F185" t="str">
            <v>RP002</v>
          </cell>
          <cell r="G185">
            <v>40830</v>
          </cell>
        </row>
        <row r="185">
          <cell r="I185">
            <v>74236</v>
          </cell>
        </row>
        <row r="186">
          <cell r="B186" t="str">
            <v>Pencil</v>
          </cell>
        </row>
        <row r="186">
          <cell r="D186" t="str">
            <v>Red</v>
          </cell>
        </row>
        <row r="186">
          <cell r="F186" t="str">
            <v>RP003</v>
          </cell>
          <cell r="G186">
            <v>44700</v>
          </cell>
        </row>
        <row r="186">
          <cell r="I186">
            <v>82777</v>
          </cell>
        </row>
        <row r="187">
          <cell r="B187" t="str">
            <v>Pencil</v>
          </cell>
        </row>
        <row r="187">
          <cell r="D187" t="str">
            <v>Red Orange</v>
          </cell>
        </row>
        <row r="187">
          <cell r="F187" t="str">
            <v>RP004</v>
          </cell>
          <cell r="G187">
            <v>44800</v>
          </cell>
        </row>
        <row r="187">
          <cell r="I187">
            <v>72258</v>
          </cell>
        </row>
        <row r="188">
          <cell r="B188" t="str">
            <v>Pencil</v>
          </cell>
        </row>
        <row r="188">
          <cell r="D188" t="str">
            <v>Orange</v>
          </cell>
        </row>
        <row r="188">
          <cell r="F188" t="str">
            <v>RP005</v>
          </cell>
          <cell r="G188">
            <v>44500</v>
          </cell>
        </row>
        <row r="188">
          <cell r="I188">
            <v>71774</v>
          </cell>
        </row>
        <row r="189">
          <cell r="B189" t="str">
            <v>Pencil</v>
          </cell>
        </row>
        <row r="189">
          <cell r="D189" t="str">
            <v>Yellow Orange</v>
          </cell>
        </row>
        <row r="189">
          <cell r="F189" t="str">
            <v>RP006</v>
          </cell>
          <cell r="G189">
            <v>43550</v>
          </cell>
        </row>
        <row r="189">
          <cell r="I189">
            <v>76403</v>
          </cell>
        </row>
        <row r="190">
          <cell r="B190" t="str">
            <v>Pencil</v>
          </cell>
        </row>
        <row r="190">
          <cell r="D190" t="str">
            <v>Lt Orange</v>
          </cell>
        </row>
        <row r="190">
          <cell r="F190" t="str">
            <v>RP007</v>
          </cell>
          <cell r="G190">
            <v>43600</v>
          </cell>
        </row>
        <row r="190">
          <cell r="I190">
            <v>79272</v>
          </cell>
        </row>
        <row r="191">
          <cell r="B191" t="str">
            <v>Pencil</v>
          </cell>
        </row>
        <row r="191">
          <cell r="D191" t="str">
            <v>Mango</v>
          </cell>
        </row>
        <row r="191">
          <cell r="F191" t="str">
            <v>RP008</v>
          </cell>
          <cell r="G191">
            <v>41160</v>
          </cell>
        </row>
        <row r="191">
          <cell r="I191">
            <v>72210</v>
          </cell>
        </row>
        <row r="192">
          <cell r="B192" t="str">
            <v>Pencil</v>
          </cell>
        </row>
        <row r="192">
          <cell r="D192" t="str">
            <v>Golden Yellow</v>
          </cell>
        </row>
        <row r="192">
          <cell r="F192" t="str">
            <v>RP009</v>
          </cell>
          <cell r="G192">
            <v>43120</v>
          </cell>
        </row>
        <row r="192">
          <cell r="I192">
            <v>73084</v>
          </cell>
        </row>
        <row r="193">
          <cell r="B193" t="str">
            <v>Pencil</v>
          </cell>
        </row>
        <row r="193">
          <cell r="D193" t="str">
            <v>Yellow</v>
          </cell>
        </row>
        <row r="193">
          <cell r="F193" t="str">
            <v>RP010</v>
          </cell>
          <cell r="G193">
            <v>41900</v>
          </cell>
        </row>
        <row r="193">
          <cell r="I193">
            <v>67580</v>
          </cell>
        </row>
        <row r="194">
          <cell r="B194" t="str">
            <v>Pencil</v>
          </cell>
        </row>
        <row r="194">
          <cell r="D194" t="str">
            <v>Green Yellow</v>
          </cell>
        </row>
        <row r="194">
          <cell r="F194" t="str">
            <v>RP011</v>
          </cell>
          <cell r="G194">
            <v>43520</v>
          </cell>
        </row>
        <row r="194">
          <cell r="I194">
            <v>75034</v>
          </cell>
        </row>
        <row r="195">
          <cell r="B195" t="str">
            <v>Pencil</v>
          </cell>
        </row>
        <row r="195">
          <cell r="D195" t="str">
            <v>Lemon Yellow</v>
          </cell>
        </row>
        <row r="195">
          <cell r="F195" t="str">
            <v>RP012</v>
          </cell>
          <cell r="G195">
            <v>40300</v>
          </cell>
        </row>
        <row r="195">
          <cell r="I195">
            <v>73272</v>
          </cell>
        </row>
        <row r="196">
          <cell r="B196" t="str">
            <v>Pencil</v>
          </cell>
        </row>
        <row r="196">
          <cell r="D196" t="str">
            <v>Lime Green</v>
          </cell>
        </row>
        <row r="196">
          <cell r="F196" t="str">
            <v>RP013</v>
          </cell>
          <cell r="G196">
            <v>42140</v>
          </cell>
        </row>
        <row r="196">
          <cell r="I196">
            <v>67967</v>
          </cell>
        </row>
        <row r="197">
          <cell r="B197" t="str">
            <v>Pencil</v>
          </cell>
        </row>
        <row r="197">
          <cell r="D197" t="str">
            <v>Yellow Green</v>
          </cell>
        </row>
        <row r="197">
          <cell r="F197" t="str">
            <v>RP014</v>
          </cell>
          <cell r="G197">
            <v>43600</v>
          </cell>
        </row>
        <row r="197">
          <cell r="I197">
            <v>75172</v>
          </cell>
        </row>
        <row r="198">
          <cell r="B198" t="str">
            <v>Pencil</v>
          </cell>
        </row>
        <row r="198">
          <cell r="D198" t="str">
            <v>Jade Green</v>
          </cell>
        </row>
        <row r="198">
          <cell r="F198" t="str">
            <v>RP015</v>
          </cell>
          <cell r="G198">
            <v>42420</v>
          </cell>
        </row>
        <row r="198">
          <cell r="I198">
            <v>77127</v>
          </cell>
        </row>
        <row r="199">
          <cell r="B199" t="str">
            <v>Pencil</v>
          </cell>
        </row>
        <row r="199">
          <cell r="D199" t="str">
            <v>Green</v>
          </cell>
        </row>
        <row r="199">
          <cell r="F199" t="str">
            <v>RP016</v>
          </cell>
          <cell r="G199">
            <v>48340</v>
          </cell>
        </row>
        <row r="199">
          <cell r="I199">
            <v>77967</v>
          </cell>
        </row>
        <row r="200">
          <cell r="B200" t="str">
            <v>Pencil</v>
          </cell>
        </row>
        <row r="200">
          <cell r="D200" t="str">
            <v>Asparagus</v>
          </cell>
        </row>
        <row r="200">
          <cell r="F200" t="str">
            <v>RP017</v>
          </cell>
          <cell r="G200">
            <v>45000</v>
          </cell>
        </row>
        <row r="200">
          <cell r="I200">
            <v>77586</v>
          </cell>
        </row>
        <row r="201">
          <cell r="B201" t="str">
            <v>Pencil</v>
          </cell>
        </row>
        <row r="201">
          <cell r="D201" t="str">
            <v>Pine Green</v>
          </cell>
        </row>
        <row r="201">
          <cell r="F201" t="str">
            <v>RP018</v>
          </cell>
          <cell r="G201">
            <v>43770</v>
          </cell>
        </row>
        <row r="201">
          <cell r="I201">
            <v>79581</v>
          </cell>
        </row>
        <row r="202">
          <cell r="B202" t="str">
            <v>Pencil</v>
          </cell>
        </row>
        <row r="202">
          <cell r="D202" t="str">
            <v>Teal</v>
          </cell>
        </row>
        <row r="202">
          <cell r="F202" t="str">
            <v>RP019</v>
          </cell>
          <cell r="G202">
            <v>45700</v>
          </cell>
        </row>
        <row r="202">
          <cell r="I202">
            <v>73709</v>
          </cell>
        </row>
        <row r="203">
          <cell r="B203" t="str">
            <v>Pencil</v>
          </cell>
        </row>
        <row r="203">
          <cell r="D203" t="str">
            <v>Aqua Green</v>
          </cell>
        </row>
        <row r="203">
          <cell r="F203" t="str">
            <v>RP020</v>
          </cell>
          <cell r="G203">
            <v>46020</v>
          </cell>
        </row>
        <row r="203">
          <cell r="I203">
            <v>83672</v>
          </cell>
        </row>
        <row r="204">
          <cell r="B204" t="str">
            <v>Pencil</v>
          </cell>
        </row>
        <row r="204">
          <cell r="D204" t="str">
            <v>Green Blue</v>
          </cell>
        </row>
        <row r="204">
          <cell r="F204" t="str">
            <v>RP021</v>
          </cell>
          <cell r="G204">
            <v>43350</v>
          </cell>
        </row>
        <row r="204">
          <cell r="I204">
            <v>72250</v>
          </cell>
        </row>
        <row r="205">
          <cell r="B205" t="str">
            <v>Pencil</v>
          </cell>
        </row>
        <row r="205">
          <cell r="D205" t="str">
            <v>Absolute Zero</v>
          </cell>
        </row>
        <row r="205">
          <cell r="F205" t="str">
            <v>RP022</v>
          </cell>
          <cell r="G205">
            <v>42875</v>
          </cell>
        </row>
        <row r="205">
          <cell r="I205">
            <v>77954</v>
          </cell>
        </row>
        <row r="206">
          <cell r="B206" t="str">
            <v>Pencil</v>
          </cell>
        </row>
        <row r="206">
          <cell r="D206" t="str">
            <v>Cerulean</v>
          </cell>
        </row>
        <row r="206">
          <cell r="F206" t="str">
            <v>RP023</v>
          </cell>
          <cell r="G206">
            <v>45160</v>
          </cell>
        </row>
        <row r="206">
          <cell r="I206">
            <v>72838</v>
          </cell>
        </row>
        <row r="207">
          <cell r="B207" t="str">
            <v>Pencil</v>
          </cell>
        </row>
        <row r="207">
          <cell r="D207" t="str">
            <v>Sky Blue</v>
          </cell>
        </row>
        <row r="207">
          <cell r="F207" t="str">
            <v>RP024</v>
          </cell>
          <cell r="G207">
            <v>46200</v>
          </cell>
        </row>
        <row r="207">
          <cell r="I207">
            <v>74516</v>
          </cell>
        </row>
        <row r="208">
          <cell r="B208" t="str">
            <v>Pencil</v>
          </cell>
        </row>
        <row r="208">
          <cell r="D208" t="str">
            <v>Blue</v>
          </cell>
        </row>
        <row r="208">
          <cell r="F208" t="str">
            <v>RP025</v>
          </cell>
          <cell r="G208">
            <v>22725</v>
          </cell>
        </row>
        <row r="208">
          <cell r="I208">
            <v>41318</v>
          </cell>
        </row>
        <row r="209">
          <cell r="B209" t="str">
            <v>Pencil</v>
          </cell>
        </row>
        <row r="209">
          <cell r="D209" t="str">
            <v>Lt Blue</v>
          </cell>
        </row>
        <row r="209">
          <cell r="F209" t="str">
            <v>RP026</v>
          </cell>
          <cell r="G209">
            <v>42120</v>
          </cell>
        </row>
        <row r="209">
          <cell r="I209">
            <v>76581</v>
          </cell>
        </row>
        <row r="210">
          <cell r="B210" t="str">
            <v>Pencil</v>
          </cell>
        </row>
        <row r="210">
          <cell r="D210" t="str">
            <v>Navy Blue</v>
          </cell>
        </row>
        <row r="210">
          <cell r="F210" t="str">
            <v>RP027</v>
          </cell>
          <cell r="G210">
            <v>43200</v>
          </cell>
        </row>
        <row r="210">
          <cell r="I210">
            <v>78545</v>
          </cell>
        </row>
        <row r="211">
          <cell r="B211" t="str">
            <v>Pencil</v>
          </cell>
        </row>
        <row r="211">
          <cell r="D211" t="str">
            <v>Blue Violet</v>
          </cell>
        </row>
        <row r="211">
          <cell r="F211" t="str">
            <v>RP028</v>
          </cell>
          <cell r="G211">
            <v>45375</v>
          </cell>
        </row>
        <row r="211">
          <cell r="I211">
            <v>82500</v>
          </cell>
        </row>
        <row r="212">
          <cell r="B212" t="str">
            <v>Pencil</v>
          </cell>
        </row>
        <row r="212">
          <cell r="D212" t="str">
            <v>Orchid</v>
          </cell>
        </row>
        <row r="212">
          <cell r="F212" t="str">
            <v>RP029</v>
          </cell>
          <cell r="G212">
            <v>42443</v>
          </cell>
        </row>
        <row r="212">
          <cell r="I212">
            <v>75791</v>
          </cell>
        </row>
        <row r="213">
          <cell r="B213" t="str">
            <v>Pencil</v>
          </cell>
        </row>
        <row r="213">
          <cell r="D213" t="str">
            <v>Wisteria</v>
          </cell>
        </row>
        <row r="213">
          <cell r="F213" t="str">
            <v>RP030</v>
          </cell>
          <cell r="G213">
            <v>43636</v>
          </cell>
        </row>
        <row r="213">
          <cell r="I213">
            <v>70380</v>
          </cell>
        </row>
        <row r="214">
          <cell r="B214" t="str">
            <v>Pencil</v>
          </cell>
        </row>
        <row r="214">
          <cell r="D214" t="str">
            <v>Violet</v>
          </cell>
        </row>
        <row r="214">
          <cell r="F214" t="str">
            <v>RP031</v>
          </cell>
          <cell r="G214">
            <v>42460</v>
          </cell>
        </row>
        <row r="214">
          <cell r="I214">
            <v>68483</v>
          </cell>
        </row>
        <row r="215">
          <cell r="B215" t="str">
            <v>Pencil</v>
          </cell>
        </row>
        <row r="215">
          <cell r="D215" t="str">
            <v>Plum</v>
          </cell>
        </row>
        <row r="215">
          <cell r="F215" t="str">
            <v>RP032</v>
          </cell>
          <cell r="G215">
            <v>42765</v>
          </cell>
        </row>
        <row r="215">
          <cell r="I215">
            <v>75026</v>
          </cell>
        </row>
        <row r="216">
          <cell r="B216" t="str">
            <v>Pencil</v>
          </cell>
        </row>
        <row r="216">
          <cell r="D216" t="str">
            <v>Maroon</v>
          </cell>
        </row>
        <row r="216">
          <cell r="F216" t="str">
            <v>RP033</v>
          </cell>
          <cell r="G216">
            <v>42100</v>
          </cell>
        </row>
        <row r="216">
          <cell r="I216">
            <v>76545</v>
          </cell>
        </row>
        <row r="217">
          <cell r="B217" t="str">
            <v>Pencil</v>
          </cell>
        </row>
        <row r="217">
          <cell r="D217" t="str">
            <v>Mauvelous</v>
          </cell>
        </row>
        <row r="217">
          <cell r="F217" t="str">
            <v>RP034</v>
          </cell>
          <cell r="G217">
            <v>38750</v>
          </cell>
        </row>
        <row r="217">
          <cell r="I217">
            <v>70454</v>
          </cell>
        </row>
        <row r="218">
          <cell r="B218" t="str">
            <v>Pencil</v>
          </cell>
        </row>
        <row r="218">
          <cell r="D218" t="str">
            <v>Magenta</v>
          </cell>
        </row>
        <row r="218">
          <cell r="F218" t="str">
            <v>RP035</v>
          </cell>
          <cell r="G218">
            <v>44550</v>
          </cell>
        </row>
        <row r="218">
          <cell r="I218">
            <v>81000</v>
          </cell>
        </row>
        <row r="219">
          <cell r="B219" t="str">
            <v>Pencil</v>
          </cell>
        </row>
        <row r="219">
          <cell r="D219" t="str">
            <v>Carnation Pink</v>
          </cell>
        </row>
        <row r="219">
          <cell r="F219" t="str">
            <v>RP036</v>
          </cell>
          <cell r="G219">
            <v>48740</v>
          </cell>
        </row>
        <row r="219">
          <cell r="I219">
            <v>85508</v>
          </cell>
        </row>
        <row r="220">
          <cell r="B220" t="str">
            <v>Pencil</v>
          </cell>
        </row>
        <row r="220">
          <cell r="D220" t="str">
            <v>Pink Flamingo</v>
          </cell>
        </row>
        <row r="220">
          <cell r="F220" t="str">
            <v>RP037</v>
          </cell>
          <cell r="G220">
            <v>41565</v>
          </cell>
        </row>
        <row r="220">
          <cell r="I220">
            <v>75572</v>
          </cell>
        </row>
        <row r="221">
          <cell r="B221" t="str">
            <v>Pencil</v>
          </cell>
        </row>
        <row r="221">
          <cell r="D221" t="str">
            <v>Bubblegum</v>
          </cell>
        </row>
        <row r="221">
          <cell r="F221" t="str">
            <v>RP038</v>
          </cell>
          <cell r="G221">
            <v>41865</v>
          </cell>
        </row>
        <row r="221">
          <cell r="I221">
            <v>76118</v>
          </cell>
        </row>
        <row r="222">
          <cell r="B222" t="str">
            <v>Pencil</v>
          </cell>
        </row>
        <row r="222">
          <cell r="D222" t="str">
            <v>Salmon</v>
          </cell>
        </row>
        <row r="222">
          <cell r="F222" t="str">
            <v>RP039</v>
          </cell>
          <cell r="G222">
            <v>46550</v>
          </cell>
        </row>
        <row r="222">
          <cell r="I222">
            <v>75080</v>
          </cell>
        </row>
        <row r="223">
          <cell r="B223" t="str">
            <v>Pencil</v>
          </cell>
        </row>
        <row r="223">
          <cell r="D223" t="str">
            <v>Tan</v>
          </cell>
        </row>
        <row r="223">
          <cell r="F223" t="str">
            <v>RP040</v>
          </cell>
          <cell r="G223">
            <v>48230</v>
          </cell>
        </row>
        <row r="223">
          <cell r="I223">
            <v>77790</v>
          </cell>
        </row>
        <row r="224">
          <cell r="B224" t="str">
            <v>Pencil</v>
          </cell>
        </row>
        <row r="224">
          <cell r="D224" t="str">
            <v>Lt Brown</v>
          </cell>
        </row>
        <row r="224">
          <cell r="F224" t="str">
            <v>RP041</v>
          </cell>
          <cell r="G224">
            <v>48600</v>
          </cell>
        </row>
        <row r="224">
          <cell r="I224">
            <v>78387</v>
          </cell>
        </row>
        <row r="225">
          <cell r="B225" t="str">
            <v>Pencil</v>
          </cell>
        </row>
        <row r="225">
          <cell r="D225" t="str">
            <v>Brown</v>
          </cell>
        </row>
        <row r="225">
          <cell r="F225" t="str">
            <v>RP042</v>
          </cell>
          <cell r="G225">
            <v>48200</v>
          </cell>
        </row>
        <row r="225">
          <cell r="I225">
            <v>77741</v>
          </cell>
        </row>
        <row r="226">
          <cell r="B226" t="str">
            <v>Pencil</v>
          </cell>
        </row>
        <row r="226">
          <cell r="D226" t="str">
            <v>Apricot</v>
          </cell>
        </row>
        <row r="226">
          <cell r="F226" t="str">
            <v>RP043</v>
          </cell>
          <cell r="G226">
            <v>48860</v>
          </cell>
        </row>
        <row r="226">
          <cell r="I226">
            <v>88836</v>
          </cell>
        </row>
        <row r="227">
          <cell r="B227" t="str">
            <v>Pencil</v>
          </cell>
        </row>
        <row r="227">
          <cell r="D227" t="str">
            <v>Sand</v>
          </cell>
        </row>
        <row r="227">
          <cell r="F227" t="str">
            <v>RP044</v>
          </cell>
          <cell r="G227">
            <v>39905</v>
          </cell>
        </row>
        <row r="227">
          <cell r="I227">
            <v>72554</v>
          </cell>
        </row>
        <row r="228">
          <cell r="B228" t="str">
            <v>Pencil</v>
          </cell>
        </row>
        <row r="228">
          <cell r="D228" t="str">
            <v>Taupe</v>
          </cell>
        </row>
        <row r="228">
          <cell r="F228" t="str">
            <v>RP045</v>
          </cell>
          <cell r="G228">
            <v>55000</v>
          </cell>
        </row>
        <row r="228">
          <cell r="I228">
            <v>100000</v>
          </cell>
        </row>
        <row r="229">
          <cell r="B229" t="str">
            <v>Pencil</v>
          </cell>
        </row>
        <row r="229">
          <cell r="D229" t="str">
            <v>Bronze Yellow</v>
          </cell>
        </row>
        <row r="229">
          <cell r="F229" t="str">
            <v>RP046</v>
          </cell>
          <cell r="G229">
            <v>45960</v>
          </cell>
        </row>
        <row r="229">
          <cell r="I229">
            <v>74129</v>
          </cell>
        </row>
        <row r="230">
          <cell r="B230" t="str">
            <v>Pencil</v>
          </cell>
        </row>
        <row r="230">
          <cell r="D230" t="str">
            <v>White</v>
          </cell>
        </row>
        <row r="230">
          <cell r="F230" t="str">
            <v>RP047</v>
          </cell>
          <cell r="G230">
            <v>40800</v>
          </cell>
        </row>
        <row r="230">
          <cell r="I230">
            <v>65806</v>
          </cell>
        </row>
        <row r="231">
          <cell r="B231" t="str">
            <v>Pencil</v>
          </cell>
        </row>
        <row r="231">
          <cell r="D231" t="str">
            <v>Gray</v>
          </cell>
        </row>
        <row r="231">
          <cell r="F231" t="str">
            <v>RP048</v>
          </cell>
          <cell r="G231">
            <v>46660</v>
          </cell>
        </row>
        <row r="231">
          <cell r="I231">
            <v>75258</v>
          </cell>
        </row>
        <row r="232">
          <cell r="B232" t="str">
            <v>Pencil</v>
          </cell>
        </row>
        <row r="232">
          <cell r="D232" t="str">
            <v>Slate</v>
          </cell>
        </row>
        <row r="232">
          <cell r="F232" t="str">
            <v>RP049</v>
          </cell>
          <cell r="G232">
            <v>39900</v>
          </cell>
        </row>
        <row r="232">
          <cell r="I232">
            <v>72545</v>
          </cell>
        </row>
        <row r="233">
          <cell r="B233" t="str">
            <v>Pencil</v>
          </cell>
        </row>
        <row r="233">
          <cell r="D233" t="str">
            <v>Black</v>
          </cell>
        </row>
        <row r="233">
          <cell r="F233" t="str">
            <v>RP050</v>
          </cell>
          <cell r="G233">
            <v>41065</v>
          </cell>
        </row>
        <row r="233">
          <cell r="I233">
            <v>66233</v>
          </cell>
        </row>
        <row r="234">
          <cell r="B234" t="str">
            <v>Pencil</v>
          </cell>
        </row>
        <row r="234">
          <cell r="D234" t="str">
            <v>F. Orange</v>
          </cell>
        </row>
        <row r="234">
          <cell r="F234" t="str">
            <v>RP051</v>
          </cell>
          <cell r="G234">
            <v>45500</v>
          </cell>
        </row>
        <row r="234">
          <cell r="I234">
            <v>73387</v>
          </cell>
        </row>
        <row r="235">
          <cell r="B235" t="str">
            <v>Pencil</v>
          </cell>
        </row>
        <row r="235">
          <cell r="D235" t="str">
            <v>F. Yellow</v>
          </cell>
        </row>
        <row r="235">
          <cell r="F235" t="str">
            <v>RP052</v>
          </cell>
          <cell r="G235">
            <v>45500</v>
          </cell>
        </row>
        <row r="235">
          <cell r="I235">
            <v>73387</v>
          </cell>
        </row>
        <row r="236">
          <cell r="B236" t="str">
            <v>Pencil</v>
          </cell>
        </row>
        <row r="236">
          <cell r="D236" t="str">
            <v>F. Pink</v>
          </cell>
        </row>
        <row r="236">
          <cell r="F236" t="str">
            <v>RP053</v>
          </cell>
          <cell r="G236">
            <v>45500</v>
          </cell>
        </row>
        <row r="236">
          <cell r="I236">
            <v>73387</v>
          </cell>
        </row>
        <row r="237">
          <cell r="B237" t="str">
            <v>Pencil</v>
          </cell>
        </row>
        <row r="237">
          <cell r="D237" t="str">
            <v>Turquoise</v>
          </cell>
        </row>
        <row r="237">
          <cell r="F237" t="str">
            <v>RP054</v>
          </cell>
          <cell r="G237">
            <v>51700</v>
          </cell>
        </row>
        <row r="237">
          <cell r="I237">
            <v>83387</v>
          </cell>
        </row>
        <row r="238">
          <cell r="B238" t="str">
            <v>Pencil</v>
          </cell>
        </row>
        <row r="238">
          <cell r="D238" t="str">
            <v>Red</v>
          </cell>
        </row>
        <row r="238">
          <cell r="F238" t="str">
            <v>RP2E01</v>
          </cell>
          <cell r="G238">
            <v>46280.97</v>
          </cell>
        </row>
        <row r="238">
          <cell r="I238">
            <v>74646</v>
          </cell>
        </row>
        <row r="239">
          <cell r="B239" t="str">
            <v>Pencil</v>
          </cell>
        </row>
        <row r="239">
          <cell r="D239" t="str">
            <v>Yellow</v>
          </cell>
        </row>
        <row r="239">
          <cell r="F239" t="str">
            <v>RP2E02</v>
          </cell>
          <cell r="G239">
            <v>43570.9</v>
          </cell>
        </row>
        <row r="239">
          <cell r="I239">
            <v>70275</v>
          </cell>
        </row>
        <row r="240">
          <cell r="B240" t="str">
            <v>Pencil</v>
          </cell>
        </row>
        <row r="240">
          <cell r="D240" t="str">
            <v>Lt Orange</v>
          </cell>
        </row>
        <row r="240">
          <cell r="F240" t="str">
            <v>RP2E03</v>
          </cell>
          <cell r="G240">
            <v>22671</v>
          </cell>
        </row>
        <row r="240">
          <cell r="I240">
            <v>41220</v>
          </cell>
        </row>
        <row r="241">
          <cell r="B241" t="str">
            <v>Pencil</v>
          </cell>
        </row>
        <row r="241">
          <cell r="D241" t="str">
            <v>Blue</v>
          </cell>
        </row>
        <row r="241">
          <cell r="F241" t="str">
            <v>RP2E04</v>
          </cell>
          <cell r="G241">
            <v>23631</v>
          </cell>
        </row>
        <row r="241">
          <cell r="I241">
            <v>42965</v>
          </cell>
        </row>
        <row r="242">
          <cell r="B242" t="str">
            <v>Pencil</v>
          </cell>
        </row>
        <row r="242">
          <cell r="D242" t="str">
            <v>Green</v>
          </cell>
        </row>
        <row r="242">
          <cell r="F242" t="str">
            <v>RP2E05</v>
          </cell>
          <cell r="G242">
            <v>50041.0148</v>
          </cell>
        </row>
        <row r="242">
          <cell r="I242">
            <v>80711</v>
          </cell>
        </row>
        <row r="243">
          <cell r="B243" t="str">
            <v>Pencil</v>
          </cell>
        </row>
        <row r="243">
          <cell r="D243" t="str">
            <v>Cerulean</v>
          </cell>
        </row>
        <row r="243">
          <cell r="F243" t="str">
            <v>RP2E06</v>
          </cell>
          <cell r="G243">
            <v>48000.9676</v>
          </cell>
        </row>
        <row r="243">
          <cell r="I243">
            <v>77420</v>
          </cell>
        </row>
        <row r="244">
          <cell r="B244" t="str">
            <v>Pencil</v>
          </cell>
        </row>
        <row r="244">
          <cell r="D244" t="str">
            <v>Blue Violet</v>
          </cell>
        </row>
        <row r="244">
          <cell r="F244" t="str">
            <v>RP2E07</v>
          </cell>
          <cell r="G244">
            <v>17600</v>
          </cell>
        </row>
        <row r="244">
          <cell r="I244">
            <v>32000</v>
          </cell>
        </row>
        <row r="245">
          <cell r="B245" t="str">
            <v>Pencil</v>
          </cell>
        </row>
        <row r="245">
          <cell r="D245" t="str">
            <v>Violet</v>
          </cell>
        </row>
        <row r="245">
          <cell r="F245" t="str">
            <v>RP2E08</v>
          </cell>
          <cell r="G245">
            <v>44680.8654</v>
          </cell>
        </row>
        <row r="245">
          <cell r="I245">
            <v>72065</v>
          </cell>
        </row>
        <row r="246">
          <cell r="B246" t="str">
            <v>Pencil</v>
          </cell>
        </row>
        <row r="246">
          <cell r="D246" t="str">
            <v>Carnation Pink</v>
          </cell>
        </row>
        <row r="246">
          <cell r="F246" t="str">
            <v>RP2E09</v>
          </cell>
          <cell r="G246">
            <v>25346</v>
          </cell>
        </row>
        <row r="246">
          <cell r="I246">
            <v>46083</v>
          </cell>
        </row>
        <row r="247">
          <cell r="B247" t="str">
            <v>Pencil</v>
          </cell>
        </row>
        <row r="247">
          <cell r="D247" t="str">
            <v>Black</v>
          </cell>
        </row>
        <row r="247">
          <cell r="F247" t="str">
            <v>RP2E10</v>
          </cell>
          <cell r="G247">
            <v>42705.872</v>
          </cell>
        </row>
        <row r="247">
          <cell r="I247">
            <v>68880</v>
          </cell>
        </row>
        <row r="248">
          <cell r="B248" t="str">
            <v>Pencil</v>
          </cell>
        </row>
        <row r="248">
          <cell r="D248" t="str">
            <v>Gray</v>
          </cell>
        </row>
        <row r="248">
          <cell r="F248" t="str">
            <v>RP2E11</v>
          </cell>
          <cell r="G248">
            <v>48520.994</v>
          </cell>
        </row>
        <row r="248">
          <cell r="I248">
            <v>78259</v>
          </cell>
        </row>
        <row r="249">
          <cell r="B249" t="str">
            <v>Pencil</v>
          </cell>
        </row>
        <row r="249">
          <cell r="D249" t="str">
            <v>Bronze Yellow</v>
          </cell>
        </row>
        <row r="249">
          <cell r="F249" t="str">
            <v>RP2E12</v>
          </cell>
          <cell r="G249">
            <v>47801.029</v>
          </cell>
        </row>
        <row r="249">
          <cell r="I249">
            <v>77098</v>
          </cell>
        </row>
        <row r="250">
          <cell r="B250" t="str">
            <v>Pencil</v>
          </cell>
        </row>
        <row r="250">
          <cell r="D250" t="str">
            <v>Light Brown</v>
          </cell>
        </row>
        <row r="250">
          <cell r="F250" t="str">
            <v>RP2E13</v>
          </cell>
          <cell r="G250">
            <v>25271</v>
          </cell>
        </row>
        <row r="250">
          <cell r="I250">
            <v>45947</v>
          </cell>
        </row>
        <row r="251">
          <cell r="B251" t="str">
            <v>Pencil</v>
          </cell>
        </row>
        <row r="251">
          <cell r="D251" t="str">
            <v>Asparagus</v>
          </cell>
        </row>
        <row r="251">
          <cell r="F251" t="str">
            <v>RP2E14</v>
          </cell>
          <cell r="G251">
            <v>46800.931</v>
          </cell>
        </row>
        <row r="251">
          <cell r="I251">
            <v>75485</v>
          </cell>
        </row>
        <row r="252">
          <cell r="B252" t="str">
            <v>Pencil</v>
          </cell>
        </row>
        <row r="252">
          <cell r="D252" t="str">
            <v>Maroon</v>
          </cell>
        </row>
        <row r="252">
          <cell r="F252" t="str">
            <v>RP2E15</v>
          </cell>
          <cell r="G252">
            <v>43780.8876</v>
          </cell>
        </row>
        <row r="252">
          <cell r="I252">
            <v>70614</v>
          </cell>
        </row>
        <row r="253">
          <cell r="B253" t="str">
            <v>Pencil</v>
          </cell>
        </row>
        <row r="253">
          <cell r="D253" t="str">
            <v>Yellow Green</v>
          </cell>
        </row>
        <row r="253">
          <cell r="F253" t="str">
            <v>RP2E16</v>
          </cell>
          <cell r="G253">
            <v>45341.032</v>
          </cell>
        </row>
        <row r="253">
          <cell r="I253">
            <v>73130</v>
          </cell>
        </row>
        <row r="254">
          <cell r="B254" t="str">
            <v>Pencil</v>
          </cell>
        </row>
        <row r="254">
          <cell r="D254" t="str">
            <v>Yellow Green</v>
          </cell>
        </row>
        <row r="254">
          <cell r="F254" t="str">
            <v>RP301</v>
          </cell>
          <cell r="G254">
            <v>62250</v>
          </cell>
        </row>
        <row r="254">
          <cell r="I254">
            <v>100403</v>
          </cell>
        </row>
        <row r="255">
          <cell r="B255" t="str">
            <v>Pencil</v>
          </cell>
        </row>
        <row r="255">
          <cell r="D255" t="str">
            <v>Green</v>
          </cell>
        </row>
        <row r="255">
          <cell r="F255" t="str">
            <v>RP302</v>
          </cell>
          <cell r="G255">
            <v>58535</v>
          </cell>
        </row>
        <row r="255">
          <cell r="I255">
            <v>94411</v>
          </cell>
        </row>
        <row r="256">
          <cell r="B256" t="str">
            <v>Pencil</v>
          </cell>
        </row>
        <row r="256">
          <cell r="D256" t="str">
            <v>Blue</v>
          </cell>
        </row>
        <row r="256">
          <cell r="F256" t="str">
            <v>RP303</v>
          </cell>
          <cell r="G256">
            <v>54750</v>
          </cell>
        </row>
        <row r="256">
          <cell r="I256">
            <v>88306</v>
          </cell>
        </row>
        <row r="257">
          <cell r="B257" t="str">
            <v>Pencil</v>
          </cell>
        </row>
        <row r="257">
          <cell r="D257" t="str">
            <v>Sky Blue</v>
          </cell>
        </row>
        <row r="257">
          <cell r="F257" t="str">
            <v>RP304</v>
          </cell>
          <cell r="G257">
            <v>57750</v>
          </cell>
        </row>
        <row r="257">
          <cell r="I257">
            <v>93145</v>
          </cell>
        </row>
        <row r="258">
          <cell r="B258" t="str">
            <v>Pencil</v>
          </cell>
        </row>
        <row r="258">
          <cell r="D258" t="str">
            <v>Violet</v>
          </cell>
        </row>
        <row r="258">
          <cell r="F258" t="str">
            <v>RP305</v>
          </cell>
          <cell r="G258">
            <v>50550</v>
          </cell>
        </row>
        <row r="258">
          <cell r="I258">
            <v>81532</v>
          </cell>
        </row>
        <row r="259">
          <cell r="B259" t="str">
            <v>Pencil</v>
          </cell>
        </row>
        <row r="259">
          <cell r="D259" t="str">
            <v>Magenta</v>
          </cell>
        </row>
        <row r="259">
          <cell r="F259" t="str">
            <v>RP306</v>
          </cell>
          <cell r="G259">
            <v>51800</v>
          </cell>
        </row>
        <row r="259">
          <cell r="I259">
            <v>83548</v>
          </cell>
        </row>
        <row r="260">
          <cell r="B260" t="str">
            <v>Pencil</v>
          </cell>
        </row>
        <row r="260">
          <cell r="D260" t="str">
            <v>Yellow</v>
          </cell>
        </row>
        <row r="260">
          <cell r="F260" t="str">
            <v>RP307</v>
          </cell>
          <cell r="G260">
            <v>56000</v>
          </cell>
        </row>
        <row r="260">
          <cell r="I260">
            <v>90322</v>
          </cell>
        </row>
        <row r="261">
          <cell r="B261" t="str">
            <v>Pencil</v>
          </cell>
        </row>
        <row r="261">
          <cell r="D261" t="str">
            <v>Orange</v>
          </cell>
        </row>
        <row r="261">
          <cell r="F261" t="str">
            <v>RP308</v>
          </cell>
          <cell r="G261">
            <v>57800</v>
          </cell>
        </row>
        <row r="261">
          <cell r="I261">
            <v>93225</v>
          </cell>
        </row>
        <row r="262">
          <cell r="B262" t="str">
            <v>Pencil</v>
          </cell>
        </row>
        <row r="262">
          <cell r="D262" t="str">
            <v>Red</v>
          </cell>
        </row>
        <row r="262">
          <cell r="F262" t="str">
            <v>RP309</v>
          </cell>
          <cell r="G262">
            <v>55500</v>
          </cell>
        </row>
        <row r="262">
          <cell r="I262">
            <v>89516</v>
          </cell>
        </row>
        <row r="263">
          <cell r="B263" t="str">
            <v>Pencil</v>
          </cell>
        </row>
        <row r="263">
          <cell r="D263" t="str">
            <v>Brown</v>
          </cell>
        </row>
        <row r="263">
          <cell r="F263" t="str">
            <v>RP310</v>
          </cell>
          <cell r="G263">
            <v>65975</v>
          </cell>
        </row>
        <row r="263">
          <cell r="I263">
            <v>106411</v>
          </cell>
        </row>
        <row r="264">
          <cell r="B264" t="str">
            <v>Pencil</v>
          </cell>
        </row>
        <row r="264">
          <cell r="D264" t="str">
            <v>White</v>
          </cell>
        </row>
        <row r="264">
          <cell r="F264" t="str">
            <v>RP311</v>
          </cell>
          <cell r="G264">
            <v>58500</v>
          </cell>
        </row>
        <row r="264">
          <cell r="I264">
            <v>94354</v>
          </cell>
        </row>
        <row r="265">
          <cell r="B265" t="str">
            <v>Pencil</v>
          </cell>
        </row>
        <row r="265">
          <cell r="D265" t="str">
            <v>Gray</v>
          </cell>
        </row>
        <row r="265">
          <cell r="F265" t="str">
            <v>RP312</v>
          </cell>
          <cell r="G265">
            <v>48850</v>
          </cell>
        </row>
        <row r="265">
          <cell r="I265">
            <v>78790</v>
          </cell>
        </row>
        <row r="266">
          <cell r="B266" t="str">
            <v>Dial</v>
          </cell>
        </row>
        <row r="266">
          <cell r="D266" t="str">
            <v>Red</v>
          </cell>
        </row>
        <row r="266">
          <cell r="F266" t="str">
            <v>RR01</v>
          </cell>
          <cell r="G266">
            <v>164200</v>
          </cell>
        </row>
        <row r="266">
          <cell r="I266">
            <v>46914</v>
          </cell>
        </row>
        <row r="267">
          <cell r="B267" t="str">
            <v>Dial</v>
          </cell>
        </row>
        <row r="267">
          <cell r="D267" t="str">
            <v>Orange</v>
          </cell>
        </row>
        <row r="267">
          <cell r="F267" t="str">
            <v>RR02</v>
          </cell>
          <cell r="G267">
            <v>159200</v>
          </cell>
        </row>
        <row r="267">
          <cell r="I267">
            <v>45485</v>
          </cell>
        </row>
        <row r="268">
          <cell r="B268" t="str">
            <v>Dial</v>
          </cell>
        </row>
        <row r="268">
          <cell r="D268" t="str">
            <v>Yellow</v>
          </cell>
        </row>
        <row r="268">
          <cell r="F268" t="str">
            <v>RR03</v>
          </cell>
          <cell r="G268">
            <v>167500</v>
          </cell>
        </row>
        <row r="268">
          <cell r="I268">
            <v>47857</v>
          </cell>
        </row>
        <row r="269">
          <cell r="B269" t="str">
            <v>Dial</v>
          </cell>
        </row>
        <row r="269">
          <cell r="D269" t="str">
            <v>Yellow Green</v>
          </cell>
        </row>
        <row r="269">
          <cell r="F269" t="str">
            <v>RR04</v>
          </cell>
          <cell r="G269">
            <v>168150</v>
          </cell>
        </row>
        <row r="269">
          <cell r="I269">
            <v>48042</v>
          </cell>
        </row>
        <row r="270">
          <cell r="B270" t="str">
            <v>Dial</v>
          </cell>
        </row>
        <row r="270">
          <cell r="D270" t="str">
            <v>Green</v>
          </cell>
        </row>
        <row r="270">
          <cell r="F270" t="str">
            <v>RR05</v>
          </cell>
          <cell r="G270">
            <v>167100</v>
          </cell>
        </row>
        <row r="270">
          <cell r="I270">
            <v>47742</v>
          </cell>
        </row>
        <row r="271">
          <cell r="B271" t="str">
            <v>Dial</v>
          </cell>
        </row>
        <row r="271">
          <cell r="D271" t="str">
            <v>Blue Green</v>
          </cell>
        </row>
        <row r="271">
          <cell r="F271" t="str">
            <v>RR06</v>
          </cell>
          <cell r="G271">
            <v>170800</v>
          </cell>
        </row>
        <row r="271">
          <cell r="I271">
            <v>48800</v>
          </cell>
        </row>
        <row r="272">
          <cell r="B272" t="str">
            <v>Dial</v>
          </cell>
        </row>
        <row r="272">
          <cell r="D272" t="str">
            <v>Sky Blue</v>
          </cell>
        </row>
        <row r="272">
          <cell r="F272" t="str">
            <v>RR07</v>
          </cell>
          <cell r="G272">
            <v>168500</v>
          </cell>
        </row>
        <row r="272">
          <cell r="I272">
            <v>48142</v>
          </cell>
        </row>
        <row r="273">
          <cell r="B273" t="str">
            <v>Dial</v>
          </cell>
        </row>
        <row r="273">
          <cell r="D273" t="str">
            <v>Blue</v>
          </cell>
        </row>
        <row r="273">
          <cell r="F273" t="str">
            <v>RR08</v>
          </cell>
          <cell r="G273">
            <v>166700</v>
          </cell>
        </row>
        <row r="273">
          <cell r="I273">
            <v>47628</v>
          </cell>
        </row>
        <row r="274">
          <cell r="B274" t="str">
            <v>Dial</v>
          </cell>
        </row>
        <row r="274">
          <cell r="D274" t="str">
            <v>Violet</v>
          </cell>
        </row>
        <row r="274">
          <cell r="F274" t="str">
            <v>RR09</v>
          </cell>
          <cell r="G274">
            <v>158960</v>
          </cell>
        </row>
        <row r="274">
          <cell r="I274">
            <v>45417</v>
          </cell>
        </row>
        <row r="275">
          <cell r="B275" t="str">
            <v>Dial</v>
          </cell>
        </row>
        <row r="275">
          <cell r="D275" t="str">
            <v>Carnation Pink</v>
          </cell>
        </row>
        <row r="275">
          <cell r="F275" t="str">
            <v>RR10</v>
          </cell>
          <cell r="G275">
            <v>167860</v>
          </cell>
        </row>
        <row r="275">
          <cell r="I275">
            <v>47960</v>
          </cell>
        </row>
        <row r="276">
          <cell r="B276" t="str">
            <v>Dial</v>
          </cell>
        </row>
        <row r="276">
          <cell r="D276" t="str">
            <v>Brown</v>
          </cell>
        </row>
        <row r="276">
          <cell r="F276" t="str">
            <v>RR11</v>
          </cell>
          <cell r="G276">
            <v>168700</v>
          </cell>
        </row>
        <row r="276">
          <cell r="I276">
            <v>48200</v>
          </cell>
        </row>
        <row r="277">
          <cell r="B277" t="str">
            <v>Dial</v>
          </cell>
        </row>
        <row r="277">
          <cell r="D277" t="str">
            <v>Black</v>
          </cell>
        </row>
        <row r="277">
          <cell r="F277" t="str">
            <v>RR12</v>
          </cell>
          <cell r="G277">
            <v>171500</v>
          </cell>
        </row>
        <row r="277">
          <cell r="I277">
            <v>49000</v>
          </cell>
        </row>
        <row r="278">
          <cell r="B278" t="str">
            <v>Dial</v>
          </cell>
        </row>
        <row r="278">
          <cell r="D278" t="str">
            <v>Apricot</v>
          </cell>
        </row>
        <row r="278">
          <cell r="F278" t="str">
            <v>RR13</v>
          </cell>
          <cell r="G278">
            <v>175860</v>
          </cell>
        </row>
        <row r="278">
          <cell r="I278">
            <v>50245</v>
          </cell>
        </row>
        <row r="279">
          <cell r="B279" t="str">
            <v>Dial</v>
          </cell>
        </row>
        <row r="279">
          <cell r="D279" t="str">
            <v>Light Brown</v>
          </cell>
        </row>
        <row r="279">
          <cell r="F279" t="str">
            <v>RR14</v>
          </cell>
          <cell r="G279">
            <v>164500</v>
          </cell>
        </row>
        <row r="279">
          <cell r="I279">
            <v>47000</v>
          </cell>
        </row>
        <row r="280">
          <cell r="B280" t="str">
            <v>Dial</v>
          </cell>
        </row>
        <row r="280">
          <cell r="D280" t="str">
            <v>Yellow Orange</v>
          </cell>
        </row>
        <row r="280">
          <cell r="F280" t="str">
            <v>RR15</v>
          </cell>
          <cell r="G280">
            <v>164200</v>
          </cell>
        </row>
        <row r="280">
          <cell r="I280">
            <v>46914</v>
          </cell>
        </row>
        <row r="281">
          <cell r="B281" t="str">
            <v>Dial</v>
          </cell>
        </row>
        <row r="281">
          <cell r="D281" t="str">
            <v>Red Orange</v>
          </cell>
        </row>
        <row r="281">
          <cell r="F281" t="str">
            <v>RR16</v>
          </cell>
          <cell r="G281">
            <v>163100</v>
          </cell>
        </row>
        <row r="281">
          <cell r="I281">
            <v>46600</v>
          </cell>
        </row>
        <row r="282">
          <cell r="B282" t="str">
            <v>Dial</v>
          </cell>
        </row>
        <row r="282">
          <cell r="D282" t="str">
            <v>Blue Violet</v>
          </cell>
        </row>
        <row r="282">
          <cell r="F282" t="str">
            <v>RR17</v>
          </cell>
          <cell r="G282">
            <v>159250</v>
          </cell>
        </row>
        <row r="282">
          <cell r="I282">
            <v>45500</v>
          </cell>
        </row>
        <row r="283">
          <cell r="B283" t="str">
            <v>Dial</v>
          </cell>
        </row>
        <row r="283">
          <cell r="D283" t="str">
            <v>Red Violet</v>
          </cell>
        </row>
        <row r="283">
          <cell r="F283" t="str">
            <v>RR18</v>
          </cell>
          <cell r="G283">
            <v>158940</v>
          </cell>
        </row>
        <row r="283">
          <cell r="I283">
            <v>45411</v>
          </cell>
        </row>
        <row r="284">
          <cell r="B284" t="str">
            <v>Dial</v>
          </cell>
        </row>
        <row r="284">
          <cell r="D284" t="str">
            <v>Cerulean</v>
          </cell>
        </row>
        <row r="284">
          <cell r="F284" t="str">
            <v>RR19</v>
          </cell>
          <cell r="G284">
            <v>172200</v>
          </cell>
        </row>
        <row r="284">
          <cell r="I284">
            <v>49200</v>
          </cell>
        </row>
        <row r="285">
          <cell r="B285" t="str">
            <v>Dial</v>
          </cell>
        </row>
        <row r="285">
          <cell r="D285" t="str">
            <v>Scarlet</v>
          </cell>
        </row>
        <row r="285">
          <cell r="F285" t="str">
            <v>RR20</v>
          </cell>
          <cell r="G285">
            <v>162700</v>
          </cell>
        </row>
        <row r="285">
          <cell r="I285">
            <v>46485</v>
          </cell>
        </row>
        <row r="286">
          <cell r="B286" t="str">
            <v>Dial</v>
          </cell>
        </row>
        <row r="286">
          <cell r="D286" t="str">
            <v>Plum</v>
          </cell>
        </row>
        <row r="286">
          <cell r="F286" t="str">
            <v>RR21</v>
          </cell>
          <cell r="G286">
            <v>163100</v>
          </cell>
        </row>
        <row r="286">
          <cell r="I286">
            <v>46600</v>
          </cell>
        </row>
        <row r="287">
          <cell r="B287" t="str">
            <v>Dial</v>
          </cell>
        </row>
        <row r="287">
          <cell r="D287" t="str">
            <v>White</v>
          </cell>
        </row>
        <row r="287">
          <cell r="F287" t="str">
            <v>RR22</v>
          </cell>
          <cell r="G287">
            <v>172000</v>
          </cell>
        </row>
        <row r="287">
          <cell r="I287">
            <v>49142</v>
          </cell>
        </row>
        <row r="288">
          <cell r="B288" t="str">
            <v>Dial</v>
          </cell>
        </row>
        <row r="288">
          <cell r="D288" t="str">
            <v>F. Red</v>
          </cell>
        </row>
        <row r="288">
          <cell r="F288" t="str">
            <v>RR23</v>
          </cell>
          <cell r="G288">
            <v>177500</v>
          </cell>
        </row>
        <row r="288">
          <cell r="I288">
            <v>50714</v>
          </cell>
        </row>
        <row r="289">
          <cell r="B289" t="str">
            <v>Dial</v>
          </cell>
        </row>
        <row r="289">
          <cell r="D289" t="str">
            <v>F. Orange</v>
          </cell>
        </row>
        <row r="289">
          <cell r="F289" t="str">
            <v>RR24</v>
          </cell>
          <cell r="G289">
            <v>177500</v>
          </cell>
        </row>
        <row r="289">
          <cell r="I289">
            <v>50714</v>
          </cell>
        </row>
        <row r="290">
          <cell r="B290" t="str">
            <v>Dial</v>
          </cell>
        </row>
        <row r="290">
          <cell r="D290" t="str">
            <v>F. Yellow Orange</v>
          </cell>
        </row>
        <row r="290">
          <cell r="F290" t="str">
            <v>RR25</v>
          </cell>
          <cell r="G290">
            <v>177500</v>
          </cell>
        </row>
        <row r="290">
          <cell r="I290">
            <v>50714</v>
          </cell>
        </row>
        <row r="291">
          <cell r="B291" t="str">
            <v>Dial</v>
          </cell>
        </row>
        <row r="291">
          <cell r="D291" t="str">
            <v>F. Yellow</v>
          </cell>
        </row>
        <row r="291">
          <cell r="F291" t="str">
            <v>RR26</v>
          </cell>
          <cell r="G291">
            <v>177500</v>
          </cell>
        </row>
        <row r="291">
          <cell r="I291">
            <v>50714</v>
          </cell>
        </row>
        <row r="292">
          <cell r="B292" t="str">
            <v>Dial</v>
          </cell>
        </row>
        <row r="292">
          <cell r="D292" t="str">
            <v>F. Green</v>
          </cell>
        </row>
        <row r="292">
          <cell r="F292" t="str">
            <v>RR27</v>
          </cell>
          <cell r="G292">
            <v>177500</v>
          </cell>
        </row>
        <row r="292">
          <cell r="I292">
            <v>50714</v>
          </cell>
        </row>
        <row r="293">
          <cell r="B293" t="str">
            <v>Dial</v>
          </cell>
        </row>
        <row r="293">
          <cell r="D293" t="str">
            <v>F. Blue</v>
          </cell>
        </row>
        <row r="293">
          <cell r="F293" t="str">
            <v>RR28</v>
          </cell>
          <cell r="G293">
            <v>177500</v>
          </cell>
        </row>
        <row r="293">
          <cell r="I293">
            <v>50714</v>
          </cell>
        </row>
        <row r="294">
          <cell r="B294" t="str">
            <v>Dial</v>
          </cell>
        </row>
        <row r="294">
          <cell r="D294" t="str">
            <v>F. Pink</v>
          </cell>
        </row>
        <row r="294">
          <cell r="F294" t="str">
            <v>RR29</v>
          </cell>
          <cell r="G294">
            <v>177500</v>
          </cell>
        </row>
        <row r="294">
          <cell r="I294">
            <v>50714</v>
          </cell>
        </row>
        <row r="295">
          <cell r="B295" t="str">
            <v>Dial</v>
          </cell>
        </row>
        <row r="295">
          <cell r="D295" t="str">
            <v>F. Violet</v>
          </cell>
        </row>
        <row r="295">
          <cell r="F295" t="str">
            <v>RR30</v>
          </cell>
          <cell r="G295">
            <v>177500</v>
          </cell>
        </row>
        <row r="295">
          <cell r="I295">
            <v>50714</v>
          </cell>
        </row>
        <row r="296">
          <cell r="B296" t="str">
            <v>Dial</v>
          </cell>
        </row>
        <row r="296">
          <cell r="D296" t="str">
            <v>Brick Red</v>
          </cell>
        </row>
        <row r="296">
          <cell r="F296" t="str">
            <v>RR31</v>
          </cell>
          <cell r="G296">
            <v>163780</v>
          </cell>
        </row>
        <row r="296">
          <cell r="I296">
            <v>46794</v>
          </cell>
        </row>
        <row r="297">
          <cell r="B297" t="str">
            <v>Dial</v>
          </cell>
        </row>
        <row r="297">
          <cell r="D297" t="str">
            <v>Burnt Orange</v>
          </cell>
        </row>
        <row r="297">
          <cell r="F297" t="str">
            <v>RR32</v>
          </cell>
          <cell r="G297">
            <v>160290</v>
          </cell>
        </row>
        <row r="297">
          <cell r="I297">
            <v>45797</v>
          </cell>
        </row>
        <row r="298">
          <cell r="B298" t="str">
            <v>Dial</v>
          </cell>
        </row>
        <row r="298">
          <cell r="D298" t="str">
            <v>Golden Rod</v>
          </cell>
        </row>
        <row r="298">
          <cell r="F298" t="str">
            <v>RR33</v>
          </cell>
          <cell r="G298">
            <v>161830</v>
          </cell>
        </row>
        <row r="298">
          <cell r="I298">
            <v>46237</v>
          </cell>
        </row>
        <row r="299">
          <cell r="B299" t="str">
            <v>Mini</v>
          </cell>
        </row>
        <row r="299">
          <cell r="D299" t="str">
            <v>Green Yellow</v>
          </cell>
        </row>
        <row r="299">
          <cell r="F299" t="str">
            <v>RR34</v>
          </cell>
          <cell r="G299">
            <v>165650</v>
          </cell>
        </row>
        <row r="299">
          <cell r="I299">
            <v>46013</v>
          </cell>
        </row>
        <row r="300">
          <cell r="B300" t="str">
            <v>Dial</v>
          </cell>
        </row>
        <row r="300">
          <cell r="D300" t="str">
            <v>Olive Green</v>
          </cell>
        </row>
        <row r="300">
          <cell r="F300" t="str">
            <v>RR35</v>
          </cell>
          <cell r="G300">
            <v>163800</v>
          </cell>
        </row>
        <row r="300">
          <cell r="I300">
            <v>46800</v>
          </cell>
        </row>
        <row r="301">
          <cell r="B301" t="str">
            <v>Dial</v>
          </cell>
        </row>
        <row r="301">
          <cell r="D301" t="str">
            <v>Cadet Blue</v>
          </cell>
        </row>
        <row r="301">
          <cell r="F301" t="str">
            <v>RR36</v>
          </cell>
          <cell r="G301">
            <v>167610</v>
          </cell>
        </row>
        <row r="301">
          <cell r="I301">
            <v>47888</v>
          </cell>
        </row>
        <row r="302">
          <cell r="B302" t="str">
            <v>Dial</v>
          </cell>
        </row>
        <row r="302">
          <cell r="D302" t="str">
            <v>Indigo</v>
          </cell>
        </row>
        <row r="302">
          <cell r="F302" t="str">
            <v>RR37</v>
          </cell>
          <cell r="G302">
            <v>169750</v>
          </cell>
        </row>
        <row r="302">
          <cell r="I302">
            <v>48500</v>
          </cell>
        </row>
        <row r="303">
          <cell r="B303" t="str">
            <v>Dial</v>
          </cell>
        </row>
        <row r="303">
          <cell r="D303" t="str">
            <v>Purple</v>
          </cell>
        </row>
        <row r="303">
          <cell r="F303" t="str">
            <v>RR38</v>
          </cell>
          <cell r="G303">
            <v>161250</v>
          </cell>
        </row>
        <row r="303">
          <cell r="I303">
            <v>46071</v>
          </cell>
        </row>
        <row r="304">
          <cell r="B304" t="str">
            <v>Dial</v>
          </cell>
        </row>
        <row r="304">
          <cell r="D304" t="str">
            <v>Violet Red</v>
          </cell>
        </row>
        <row r="304">
          <cell r="F304" t="str">
            <v>RR39</v>
          </cell>
          <cell r="G304">
            <v>159170</v>
          </cell>
        </row>
        <row r="304">
          <cell r="I304">
            <v>45477</v>
          </cell>
        </row>
        <row r="305">
          <cell r="B305" t="str">
            <v>Dial</v>
          </cell>
        </row>
        <row r="305">
          <cell r="D305" t="str">
            <v>Chestnut</v>
          </cell>
        </row>
        <row r="305">
          <cell r="F305" t="str">
            <v>RR40</v>
          </cell>
          <cell r="G305">
            <v>168980</v>
          </cell>
        </row>
        <row r="305">
          <cell r="I305">
            <v>48280</v>
          </cell>
        </row>
        <row r="306">
          <cell r="B306" t="str">
            <v>Dial</v>
          </cell>
        </row>
        <row r="306">
          <cell r="D306" t="str">
            <v>Mahogany</v>
          </cell>
        </row>
        <row r="306">
          <cell r="F306" t="str">
            <v>RR41</v>
          </cell>
          <cell r="G306">
            <v>166000</v>
          </cell>
        </row>
        <row r="306">
          <cell r="I306">
            <v>47428</v>
          </cell>
        </row>
        <row r="307">
          <cell r="B307" t="str">
            <v>Dial</v>
          </cell>
        </row>
        <row r="307">
          <cell r="D307" t="str">
            <v>Burnt Sienna</v>
          </cell>
        </row>
        <row r="307">
          <cell r="F307" t="str">
            <v>RR42</v>
          </cell>
          <cell r="G307">
            <v>162500</v>
          </cell>
        </row>
        <row r="307">
          <cell r="I307">
            <v>46428</v>
          </cell>
        </row>
        <row r="308">
          <cell r="B308" t="str">
            <v>Dial</v>
          </cell>
        </row>
        <row r="308">
          <cell r="D308" t="str">
            <v>Raw Sienna</v>
          </cell>
        </row>
        <row r="308">
          <cell r="F308" t="str">
            <v>RR43</v>
          </cell>
          <cell r="G308">
            <v>162600</v>
          </cell>
        </row>
        <row r="308">
          <cell r="I308">
            <v>46457</v>
          </cell>
        </row>
        <row r="309">
          <cell r="B309" t="str">
            <v>Dial</v>
          </cell>
        </row>
        <row r="309">
          <cell r="D309" t="str">
            <v>Tan</v>
          </cell>
        </row>
        <row r="309">
          <cell r="F309" t="str">
            <v>RR44</v>
          </cell>
          <cell r="G309">
            <v>160650</v>
          </cell>
        </row>
        <row r="309">
          <cell r="I309">
            <v>45900</v>
          </cell>
        </row>
        <row r="310">
          <cell r="B310" t="str">
            <v>Dial</v>
          </cell>
        </row>
        <row r="310">
          <cell r="D310" t="str">
            <v>Gray</v>
          </cell>
        </row>
        <row r="310">
          <cell r="F310" t="str">
            <v>RR45</v>
          </cell>
          <cell r="G310">
            <v>177580</v>
          </cell>
        </row>
        <row r="310">
          <cell r="I310">
            <v>50737</v>
          </cell>
        </row>
        <row r="311">
          <cell r="B311" t="str">
            <v>Peel</v>
          </cell>
        </row>
        <row r="311">
          <cell r="D311" t="str">
            <v>White</v>
          </cell>
        </row>
        <row r="311">
          <cell r="F311" t="str">
            <v>RWP01</v>
          </cell>
          <cell r="G311">
            <v>129500</v>
          </cell>
        </row>
        <row r="311">
          <cell r="I311">
            <v>35000</v>
          </cell>
        </row>
        <row r="312">
          <cell r="B312" t="str">
            <v>Peel</v>
          </cell>
        </row>
        <row r="312">
          <cell r="D312" t="str">
            <v>Red</v>
          </cell>
        </row>
        <row r="312">
          <cell r="F312" t="str">
            <v>RWP02</v>
          </cell>
          <cell r="G312">
            <v>129500</v>
          </cell>
        </row>
        <row r="312">
          <cell r="I312">
            <v>35000</v>
          </cell>
        </row>
        <row r="313">
          <cell r="B313" t="str">
            <v>Peel</v>
          </cell>
        </row>
        <row r="313">
          <cell r="D313" t="str">
            <v>Orange</v>
          </cell>
        </row>
        <row r="313">
          <cell r="F313" t="str">
            <v>RWP03</v>
          </cell>
          <cell r="G313">
            <v>128500</v>
          </cell>
        </row>
        <row r="313">
          <cell r="I313">
            <v>34729</v>
          </cell>
        </row>
        <row r="314">
          <cell r="B314" t="str">
            <v>Peel</v>
          </cell>
        </row>
        <row r="314">
          <cell r="D314" t="str">
            <v>Yellow</v>
          </cell>
        </row>
        <row r="314">
          <cell r="F314" t="str">
            <v>RWP04</v>
          </cell>
          <cell r="G314">
            <v>126500</v>
          </cell>
        </row>
        <row r="314">
          <cell r="I314">
            <v>34189</v>
          </cell>
        </row>
        <row r="315">
          <cell r="B315" t="str">
            <v>Peel</v>
          </cell>
        </row>
        <row r="315">
          <cell r="D315" t="str">
            <v>Light Green</v>
          </cell>
        </row>
        <row r="315">
          <cell r="F315" t="str">
            <v>RWP05</v>
          </cell>
          <cell r="G315">
            <v>130805</v>
          </cell>
        </row>
        <row r="315">
          <cell r="I315">
            <v>35352</v>
          </cell>
        </row>
        <row r="316">
          <cell r="B316" t="str">
            <v>Peel</v>
          </cell>
        </row>
        <row r="316">
          <cell r="D316" t="str">
            <v>Green</v>
          </cell>
        </row>
        <row r="316">
          <cell r="F316" t="str">
            <v>RWP06</v>
          </cell>
          <cell r="G316">
            <v>128900</v>
          </cell>
        </row>
        <row r="316">
          <cell r="I316">
            <v>34837</v>
          </cell>
        </row>
        <row r="317">
          <cell r="B317" t="str">
            <v>Peel</v>
          </cell>
        </row>
        <row r="317">
          <cell r="D317" t="str">
            <v>Sky Blue</v>
          </cell>
        </row>
        <row r="317">
          <cell r="F317" t="str">
            <v>RWP07</v>
          </cell>
          <cell r="G317">
            <v>137530</v>
          </cell>
        </row>
        <row r="317">
          <cell r="I317">
            <v>37170</v>
          </cell>
        </row>
        <row r="318">
          <cell r="B318" t="str">
            <v>Peel</v>
          </cell>
        </row>
        <row r="318">
          <cell r="D318" t="str">
            <v>Blue</v>
          </cell>
        </row>
        <row r="318">
          <cell r="F318" t="str">
            <v>RWP08</v>
          </cell>
          <cell r="G318">
            <v>129800</v>
          </cell>
        </row>
        <row r="318">
          <cell r="I318">
            <v>35081</v>
          </cell>
        </row>
        <row r="319">
          <cell r="B319" t="str">
            <v>Peel</v>
          </cell>
        </row>
        <row r="319">
          <cell r="D319" t="str">
            <v>Violet</v>
          </cell>
        </row>
        <row r="319">
          <cell r="F319" t="str">
            <v>RWP09</v>
          </cell>
          <cell r="G319">
            <v>123160</v>
          </cell>
        </row>
        <row r="319">
          <cell r="I319">
            <v>33286</v>
          </cell>
        </row>
        <row r="320">
          <cell r="B320" t="str">
            <v>Peel</v>
          </cell>
        </row>
        <row r="320">
          <cell r="D320" t="str">
            <v>Light Blue</v>
          </cell>
        </row>
        <row r="320">
          <cell r="F320" t="str">
            <v>RWP10</v>
          </cell>
          <cell r="G320">
            <v>129700</v>
          </cell>
        </row>
        <row r="320">
          <cell r="I320">
            <v>35054</v>
          </cell>
        </row>
        <row r="321">
          <cell r="B321" t="str">
            <v>Peel</v>
          </cell>
        </row>
        <row r="321">
          <cell r="D321" t="str">
            <v>Black</v>
          </cell>
        </row>
        <row r="321">
          <cell r="F321" t="str">
            <v>RWP12</v>
          </cell>
          <cell r="G321">
            <v>134500</v>
          </cell>
        </row>
        <row r="321">
          <cell r="I321">
            <v>36351</v>
          </cell>
        </row>
        <row r="322">
          <cell r="B322" t="str">
            <v>Peel</v>
          </cell>
        </row>
        <row r="322">
          <cell r="D322" t="str">
            <v>Pink</v>
          </cell>
        </row>
        <row r="322">
          <cell r="F322" t="str">
            <v>RWP13</v>
          </cell>
          <cell r="G322">
            <v>135700</v>
          </cell>
        </row>
        <row r="322">
          <cell r="I322">
            <v>36675</v>
          </cell>
        </row>
        <row r="323">
          <cell r="B323" t="str">
            <v>Peel</v>
          </cell>
        </row>
        <row r="323">
          <cell r="D323" t="str">
            <v>Yellow Ocher</v>
          </cell>
        </row>
        <row r="323">
          <cell r="F323" t="str">
            <v>RWP14</v>
          </cell>
          <cell r="G323">
            <v>130500</v>
          </cell>
        </row>
        <row r="323">
          <cell r="I323">
            <v>35270</v>
          </cell>
        </row>
        <row r="324">
          <cell r="B324" t="str">
            <v>Peel</v>
          </cell>
        </row>
        <row r="324">
          <cell r="D324" t="str">
            <v>Apricot</v>
          </cell>
        </row>
        <row r="324">
          <cell r="F324" t="str">
            <v>RWP15</v>
          </cell>
          <cell r="G324">
            <v>139550</v>
          </cell>
        </row>
        <row r="324">
          <cell r="I324">
            <v>37716</v>
          </cell>
        </row>
        <row r="325">
          <cell r="B325" t="str">
            <v>Peel</v>
          </cell>
        </row>
        <row r="325">
          <cell r="D325" t="str">
            <v>Gray - Silver</v>
          </cell>
        </row>
        <row r="325">
          <cell r="F325" t="str">
            <v>RWP16</v>
          </cell>
          <cell r="G325">
            <v>125500</v>
          </cell>
        </row>
        <row r="325">
          <cell r="I325">
            <v>33918</v>
          </cell>
        </row>
        <row r="326">
          <cell r="B326" t="str">
            <v>Peel</v>
          </cell>
        </row>
        <row r="326">
          <cell r="D326" t="str">
            <v>Gold</v>
          </cell>
        </row>
        <row r="326">
          <cell r="F326" t="str">
            <v>RWP17</v>
          </cell>
          <cell r="G326">
            <v>142600</v>
          </cell>
        </row>
        <row r="326">
          <cell r="I326">
            <v>38540</v>
          </cell>
        </row>
        <row r="588">
          <cell r="I588" t="e">
            <v>#DIV/0!</v>
          </cell>
        </row>
        <row r="600">
          <cell r="I600" t="e">
            <v>#DIV/0!</v>
          </cell>
        </row>
        <row r="611">
          <cell r="I611" t="e">
            <v>#DIV/0!</v>
          </cell>
        </row>
        <row r="612">
          <cell r="I612" t="e">
            <v>#DIV/0!</v>
          </cell>
        </row>
        <row r="667">
          <cell r="I667" t="e">
            <v>#DIV/0!</v>
          </cell>
        </row>
        <row r="668">
          <cell r="I668" t="e">
            <v>#DIV/0!</v>
          </cell>
        </row>
        <row r="687">
          <cell r="I687" t="e">
            <v>#DIV/0!</v>
          </cell>
        </row>
        <row r="688">
          <cell r="I688" t="e">
            <v>#DIV/0!</v>
          </cell>
        </row>
        <row r="698">
          <cell r="I698" t="e">
            <v>#DIV/0!</v>
          </cell>
        </row>
        <row r="718">
          <cell r="I718" t="e">
            <v>#DIV/0!</v>
          </cell>
        </row>
        <row r="719">
          <cell r="I719" t="e">
            <v>#DIV/0!</v>
          </cell>
        </row>
        <row r="740">
          <cell r="I740" t="e">
            <v>#DIV/0!</v>
          </cell>
        </row>
        <row r="741">
          <cell r="I741" t="e">
            <v>#DIV/0!</v>
          </cell>
        </row>
        <row r="761">
          <cell r="I761" t="e">
            <v>#DIV/0!</v>
          </cell>
        </row>
        <row r="762">
          <cell r="I762" t="e">
            <v>#DIV/0!</v>
          </cell>
        </row>
        <row r="781">
          <cell r="I781" t="e">
            <v>#DIV/0!</v>
          </cell>
        </row>
        <row r="782">
          <cell r="I782" t="e">
            <v>#DIV/0!</v>
          </cell>
        </row>
        <row r="800">
          <cell r="I800" t="e">
            <v>#DIV/0!</v>
          </cell>
        </row>
        <row r="801">
          <cell r="I801" t="e">
            <v>#DIV/0!</v>
          </cell>
        </row>
        <row r="820">
          <cell r="I820" t="e">
            <v>#DIV/0!</v>
          </cell>
        </row>
        <row r="821">
          <cell r="I821" t="e">
            <v>#DIV/0!</v>
          </cell>
        </row>
        <row r="837">
          <cell r="I837" t="e">
            <v>#DIV/0!</v>
          </cell>
        </row>
        <row r="838">
          <cell r="I838" t="e">
            <v>#DIV/0!</v>
          </cell>
        </row>
        <row r="853">
          <cell r="I853" t="e">
            <v>#DIV/0!</v>
          </cell>
        </row>
        <row r="863">
          <cell r="I863" t="e">
            <v>#DIV/0!</v>
          </cell>
        </row>
        <row r="874">
          <cell r="I874" t="e">
            <v>#DIV/0!</v>
          </cell>
        </row>
        <row r="875">
          <cell r="I875" t="e">
            <v>#DIV/0!</v>
          </cell>
        </row>
        <row r="898">
          <cell r="I898" t="e">
            <v>#DIV/0!</v>
          </cell>
        </row>
        <row r="899">
          <cell r="I899" t="e">
            <v>#DIV/0!</v>
          </cell>
        </row>
        <row r="923">
          <cell r="I923" t="e">
            <v>#DIV/0!</v>
          </cell>
        </row>
        <row r="924">
          <cell r="I924" t="e">
            <v>#DIV/0!</v>
          </cell>
        </row>
        <row r="950">
          <cell r="I950" t="e">
            <v>#DIV/0!</v>
          </cell>
        </row>
        <row r="951">
          <cell r="I951" t="e">
            <v>#DIV/0!</v>
          </cell>
        </row>
        <row r="974">
          <cell r="I974" t="e">
            <v>#DIV/0!</v>
          </cell>
        </row>
        <row r="975">
          <cell r="I975" t="e">
            <v>#DIV/0!</v>
          </cell>
        </row>
        <row r="986">
          <cell r="I986" t="e">
            <v>#DIV/0!</v>
          </cell>
        </row>
        <row r="1008">
          <cell r="I1008" t="e">
            <v>#DIV/0!</v>
          </cell>
        </row>
        <row r="1009">
          <cell r="I1009" t="e">
            <v>#DIV/0!</v>
          </cell>
        </row>
        <row r="1034">
          <cell r="I1034" t="e">
            <v>#DIV/0!</v>
          </cell>
        </row>
        <row r="1035">
          <cell r="I1035" t="e">
            <v>#DIV/0!</v>
          </cell>
        </row>
        <row r="1060">
          <cell r="I1060" t="e">
            <v>#DIV/0!</v>
          </cell>
        </row>
        <row r="1061">
          <cell r="I1061" t="e">
            <v>#DIV/0!</v>
          </cell>
        </row>
        <row r="1083">
          <cell r="I1083" t="e">
            <v>#DIV/0!</v>
          </cell>
        </row>
        <row r="1084">
          <cell r="I1084" t="e">
            <v>#DIV/0!</v>
          </cell>
        </row>
        <row r="1104">
          <cell r="I1104" t="e">
            <v>#DIV/0!</v>
          </cell>
        </row>
        <row r="1105">
          <cell r="I1105" t="e">
            <v>#DIV/0!</v>
          </cell>
        </row>
        <row r="1124">
          <cell r="I1124" t="e">
            <v>#DIV/0!</v>
          </cell>
        </row>
        <row r="1125">
          <cell r="I1125" t="e">
            <v>#DIV/0!</v>
          </cell>
        </row>
        <row r="1144">
          <cell r="I1144" t="e">
            <v>#DIV/0!</v>
          </cell>
        </row>
        <row r="1145">
          <cell r="I1145" t="e">
            <v>#DIV/0!</v>
          </cell>
        </row>
        <row r="1165">
          <cell r="I1165" t="e">
            <v>#DIV/0!</v>
          </cell>
        </row>
        <row r="1166">
          <cell r="I1166" t="e">
            <v>#DIV/0!</v>
          </cell>
        </row>
        <row r="1182">
          <cell r="I1182" t="e">
            <v>#DIV/0!</v>
          </cell>
        </row>
        <row r="1183">
          <cell r="I1183" t="e">
            <v>#DIV/0!</v>
          </cell>
        </row>
        <row r="1195">
          <cell r="I1195" t="e">
            <v>#DIV/0!</v>
          </cell>
        </row>
        <row r="1196">
          <cell r="I1196" t="e">
            <v>#DIV/0!</v>
          </cell>
        </row>
        <row r="1208">
          <cell r="I1208" t="e">
            <v>#DIV/0!</v>
          </cell>
        </row>
        <row r="1209">
          <cell r="I1209" t="e">
            <v>#DIV/0!</v>
          </cell>
        </row>
        <row r="1224">
          <cell r="I1224" t="e">
            <v>#DIV/0!</v>
          </cell>
        </row>
        <row r="1231">
          <cell r="I1231" t="e">
            <v>#DIV/0!</v>
          </cell>
        </row>
        <row r="1232">
          <cell r="I1232" t="e">
            <v>#DIV/0!</v>
          </cell>
        </row>
        <row r="1240">
          <cell r="I1240" t="e">
            <v>#DIV/0!</v>
          </cell>
        </row>
        <row r="1254">
          <cell r="I1254" t="e">
            <v>#DIV/0!</v>
          </cell>
        </row>
        <row r="1255">
          <cell r="I1255" t="e">
            <v>#DIV/0!</v>
          </cell>
        </row>
        <row r="1268">
          <cell r="I1268" t="e">
            <v>#DIV/0!</v>
          </cell>
        </row>
        <row r="1269">
          <cell r="I1269" t="e">
            <v>#DIV/0!</v>
          </cell>
        </row>
        <row r="1284">
          <cell r="I1284" t="e">
            <v>#DIV/0!</v>
          </cell>
        </row>
        <row r="1285">
          <cell r="I1285" t="e">
            <v>#DIV/0!</v>
          </cell>
        </row>
        <row r="1298">
          <cell r="I1298" t="e">
            <v>#DIV/0!</v>
          </cell>
        </row>
        <row r="1299">
          <cell r="I1299" t="e">
            <v>#DIV/0!</v>
          </cell>
        </row>
        <row r="1314">
          <cell r="I1314" t="e">
            <v>#DIV/0!</v>
          </cell>
        </row>
        <row r="1315">
          <cell r="I1315" t="e">
            <v>#DIV/0!</v>
          </cell>
        </row>
        <row r="1329">
          <cell r="I1329" t="e">
            <v>#DIV/0!</v>
          </cell>
        </row>
        <row r="1330">
          <cell r="I1330" t="e">
            <v>#DIV/0!</v>
          </cell>
        </row>
        <row r="1345">
          <cell r="I1345" t="e">
            <v>#DIV/0!</v>
          </cell>
        </row>
        <row r="1346">
          <cell r="I1346" t="e">
            <v>#DIV/0!</v>
          </cell>
        </row>
        <row r="1357">
          <cell r="I1357" t="e">
            <v>#DIV/0!</v>
          </cell>
        </row>
        <row r="1358">
          <cell r="I1358" t="e">
            <v>#DIV/0!</v>
          </cell>
        </row>
        <row r="1369">
          <cell r="I1369" t="e">
            <v>#DIV/0!</v>
          </cell>
        </row>
        <row r="1370">
          <cell r="I1370" t="e">
            <v>#DIV/0!</v>
          </cell>
        </row>
        <row r="1381">
          <cell r="I1381" t="e">
            <v>#DIV/0!</v>
          </cell>
        </row>
        <row r="1382">
          <cell r="I1382" t="e">
            <v>#DIV/0!</v>
          </cell>
        </row>
        <row r="1394">
          <cell r="I1394" t="e">
            <v>#DIV/0!</v>
          </cell>
        </row>
        <row r="1395">
          <cell r="I1395" t="e">
            <v>#DIV/0!</v>
          </cell>
        </row>
        <row r="1412">
          <cell r="I1412" t="e">
            <v>#DIV/0!</v>
          </cell>
        </row>
        <row r="1413">
          <cell r="I1413" t="e">
            <v>#DIV/0!</v>
          </cell>
        </row>
        <row r="1429">
          <cell r="I1429" t="e">
            <v>#DIV/0!</v>
          </cell>
        </row>
        <row r="1430">
          <cell r="I1430" t="e">
            <v>#DIV/0!</v>
          </cell>
        </row>
        <row r="1447">
          <cell r="I1447" t="e">
            <v>#DIV/0!</v>
          </cell>
        </row>
        <row r="1448">
          <cell r="I1448" t="e">
            <v>#DIV/0!</v>
          </cell>
        </row>
        <row r="1467">
          <cell r="I1467" t="e">
            <v>#DIV/0!</v>
          </cell>
        </row>
        <row r="1468">
          <cell r="I1468" t="e">
            <v>#DIV/0!</v>
          </cell>
        </row>
        <row r="1484">
          <cell r="I1484" t="e">
            <v>#DIV/0!</v>
          </cell>
        </row>
        <row r="1485">
          <cell r="I1485" t="e">
            <v>#DIV/0!</v>
          </cell>
        </row>
        <row r="1499">
          <cell r="I1499" t="e">
            <v>#DIV/0!</v>
          </cell>
        </row>
        <row r="1500">
          <cell r="I1500" t="e">
            <v>#DIV/0!</v>
          </cell>
        </row>
        <row r="1515">
          <cell r="I1515" t="e">
            <v>#DIV/0!</v>
          </cell>
        </row>
        <row r="1516">
          <cell r="I1516" t="e">
            <v>#DIV/0!</v>
          </cell>
        </row>
        <row r="1532">
          <cell r="I1532" t="e">
            <v>#DIV/0!</v>
          </cell>
        </row>
        <row r="1533">
          <cell r="I1533" t="e">
            <v>#DIV/0!</v>
          </cell>
        </row>
        <row r="1550">
          <cell r="I1550" t="e">
            <v>#DIV/0!</v>
          </cell>
        </row>
        <row r="1551">
          <cell r="I1551" t="e">
            <v>#DIV/0!</v>
          </cell>
        </row>
        <row r="1568">
          <cell r="I1568" t="e">
            <v>#DIV/0!</v>
          </cell>
        </row>
        <row r="1569">
          <cell r="I1569" t="e">
            <v>#DIV/0!</v>
          </cell>
        </row>
        <row r="1589">
          <cell r="I1589" t="e">
            <v>#DIV/0!</v>
          </cell>
        </row>
        <row r="1590">
          <cell r="I1590" t="e">
            <v>#DIV/0!</v>
          </cell>
        </row>
        <row r="1610">
          <cell r="I1610" t="e">
            <v>#DIV/0!</v>
          </cell>
        </row>
        <row r="1611">
          <cell r="I1611" t="e">
            <v>#DIV/0!</v>
          </cell>
        </row>
        <row r="1630">
          <cell r="I1630" t="e">
            <v>#DIV/0!</v>
          </cell>
        </row>
        <row r="1646">
          <cell r="I1646" t="e">
            <v>#DIV/0!</v>
          </cell>
        </row>
        <row r="1647">
          <cell r="I1647" t="e">
            <v>#DIV/0!</v>
          </cell>
        </row>
        <row r="1665">
          <cell r="I1665" t="e">
            <v>#DIV/0!</v>
          </cell>
        </row>
        <row r="1673">
          <cell r="I1673" t="e">
            <v>#DIV/0!</v>
          </cell>
        </row>
        <row r="1674">
          <cell r="I1674" t="e">
            <v>#DIV/0!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27"/>
  <sheetViews>
    <sheetView topLeftCell="A196" workbookViewId="0">
      <selection activeCell="F216" sqref="F216"/>
    </sheetView>
  </sheetViews>
  <sheetFormatPr defaultColWidth="9.14285714285714" defaultRowHeight="15"/>
  <cols>
    <col min="3" max="3" width="10.1428571428571" customWidth="1"/>
    <col min="4" max="4" width="29.4285714285714" customWidth="1"/>
    <col min="5" max="5" width="13.2857142857143" customWidth="1"/>
    <col min="7" max="7" width="9.14285714285714" style="56"/>
    <col min="8" max="8" width="9.14285714285714" style="57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6</v>
      </c>
    </row>
    <row r="2" s="37" customFormat="1" ht="12.75" spans="1:14">
      <c r="A2" s="37" t="s">
        <v>7</v>
      </c>
      <c r="B2" s="37" t="s">
        <v>8</v>
      </c>
      <c r="C2" s="37" t="s">
        <v>9</v>
      </c>
      <c r="D2" s="37" t="s">
        <v>10</v>
      </c>
      <c r="E2" s="37" t="s">
        <v>11</v>
      </c>
      <c r="F2" s="37" t="s">
        <v>12</v>
      </c>
      <c r="G2" s="58">
        <v>188000</v>
      </c>
      <c r="H2" s="59">
        <v>3.6</v>
      </c>
      <c r="I2" s="58">
        <f t="shared" ref="I2:I65" si="0">ROUNDDOWN(G2/H2,0)</f>
        <v>52222</v>
      </c>
      <c r="K2" s="60"/>
      <c r="M2" s="61"/>
      <c r="N2" s="62"/>
    </row>
    <row r="3" s="37" customFormat="1" ht="12.75" spans="1:14">
      <c r="A3" s="37" t="s">
        <v>7</v>
      </c>
      <c r="B3" s="37" t="s">
        <v>8</v>
      </c>
      <c r="C3" s="37" t="s">
        <v>13</v>
      </c>
      <c r="D3" s="37" t="s">
        <v>14</v>
      </c>
      <c r="E3" s="37" t="s">
        <v>11</v>
      </c>
      <c r="F3" s="37" t="s">
        <v>15</v>
      </c>
      <c r="G3" s="58">
        <v>180410</v>
      </c>
      <c r="H3" s="59">
        <v>3.65</v>
      </c>
      <c r="I3" s="58">
        <f t="shared" si="0"/>
        <v>49427</v>
      </c>
      <c r="K3" s="60"/>
      <c r="N3" s="62"/>
    </row>
    <row r="4" s="37" customFormat="1" ht="12.75" spans="1:14">
      <c r="A4" s="37" t="s">
        <v>7</v>
      </c>
      <c r="B4" s="37" t="s">
        <v>8</v>
      </c>
      <c r="C4" s="37" t="s">
        <v>16</v>
      </c>
      <c r="D4" s="37" t="s">
        <v>17</v>
      </c>
      <c r="E4" s="37" t="s">
        <v>11</v>
      </c>
      <c r="F4" s="37" t="s">
        <v>18</v>
      </c>
      <c r="G4" s="58">
        <v>168000</v>
      </c>
      <c r="H4" s="59">
        <v>3.6</v>
      </c>
      <c r="I4" s="58">
        <f t="shared" si="0"/>
        <v>46666</v>
      </c>
      <c r="K4" s="60"/>
      <c r="N4" s="62"/>
    </row>
    <row r="5" s="37" customFormat="1" ht="12.75" spans="1:14">
      <c r="A5" s="37" t="s">
        <v>7</v>
      </c>
      <c r="B5" s="37" t="s">
        <v>8</v>
      </c>
      <c r="C5" s="37" t="s">
        <v>19</v>
      </c>
      <c r="D5" s="37" t="s">
        <v>20</v>
      </c>
      <c r="E5" s="37" t="s">
        <v>11</v>
      </c>
      <c r="F5" s="37" t="s">
        <v>21</v>
      </c>
      <c r="G5" s="58">
        <v>173430</v>
      </c>
      <c r="H5" s="59">
        <v>3.83</v>
      </c>
      <c r="I5" s="58">
        <f t="shared" si="0"/>
        <v>45281</v>
      </c>
      <c r="K5" s="60"/>
      <c r="N5" s="62"/>
    </row>
    <row r="6" s="37" customFormat="1" ht="12.75" spans="1:14">
      <c r="A6" s="37" t="s">
        <v>7</v>
      </c>
      <c r="B6" s="37" t="s">
        <v>8</v>
      </c>
      <c r="C6" s="37" t="s">
        <v>22</v>
      </c>
      <c r="D6" s="37" t="s">
        <v>23</v>
      </c>
      <c r="E6" s="37" t="s">
        <v>11</v>
      </c>
      <c r="F6" s="37" t="s">
        <v>24</v>
      </c>
      <c r="G6" s="58">
        <v>162000</v>
      </c>
      <c r="H6" s="59">
        <v>3.5</v>
      </c>
      <c r="I6" s="58">
        <f t="shared" si="0"/>
        <v>46285</v>
      </c>
      <c r="K6" s="60"/>
      <c r="N6" s="62"/>
    </row>
    <row r="7" s="37" customFormat="1" ht="12.75" spans="1:14">
      <c r="A7" s="37" t="s">
        <v>7</v>
      </c>
      <c r="B7" s="37" t="s">
        <v>8</v>
      </c>
      <c r="C7" s="37" t="s">
        <v>25</v>
      </c>
      <c r="D7" s="37" t="s">
        <v>26</v>
      </c>
      <c r="E7" s="37" t="s">
        <v>11</v>
      </c>
      <c r="F7" s="37" t="s">
        <v>27</v>
      </c>
      <c r="G7" s="58">
        <v>173000</v>
      </c>
      <c r="H7" s="59">
        <v>3.7</v>
      </c>
      <c r="I7" s="58">
        <f t="shared" si="0"/>
        <v>46756</v>
      </c>
      <c r="K7" s="60"/>
      <c r="N7" s="62"/>
    </row>
    <row r="8" s="37" customFormat="1" ht="12.75" spans="1:14">
      <c r="A8" s="37" t="s">
        <v>7</v>
      </c>
      <c r="B8" s="37" t="s">
        <v>8</v>
      </c>
      <c r="C8" s="37" t="s">
        <v>28</v>
      </c>
      <c r="D8" s="37" t="s">
        <v>29</v>
      </c>
      <c r="E8" s="37" t="s">
        <v>11</v>
      </c>
      <c r="F8" s="37" t="s">
        <v>30</v>
      </c>
      <c r="G8" s="58">
        <v>172800</v>
      </c>
      <c r="H8" s="59">
        <v>3.65</v>
      </c>
      <c r="I8" s="58">
        <f t="shared" si="0"/>
        <v>47342</v>
      </c>
      <c r="K8" s="60"/>
      <c r="N8" s="62"/>
    </row>
    <row r="9" s="37" customFormat="1" ht="12.75" spans="1:14">
      <c r="A9" s="37" t="s">
        <v>7</v>
      </c>
      <c r="B9" s="37" t="s">
        <v>8</v>
      </c>
      <c r="C9" s="37" t="s">
        <v>31</v>
      </c>
      <c r="D9" s="37" t="s">
        <v>32</v>
      </c>
      <c r="E9" s="37" t="s">
        <v>11</v>
      </c>
      <c r="F9" s="37" t="s">
        <v>33</v>
      </c>
      <c r="G9" s="58">
        <v>174900</v>
      </c>
      <c r="H9" s="59">
        <v>3.5</v>
      </c>
      <c r="I9" s="58">
        <f t="shared" si="0"/>
        <v>49971</v>
      </c>
      <c r="K9" s="60"/>
    </row>
    <row r="10" s="37" customFormat="1" ht="12.75" spans="1:14">
      <c r="A10" s="37" t="s">
        <v>7</v>
      </c>
      <c r="B10" s="37" t="s">
        <v>8</v>
      </c>
      <c r="C10" s="37" t="s">
        <v>34</v>
      </c>
      <c r="D10" s="37" t="s">
        <v>35</v>
      </c>
      <c r="E10" s="37" t="s">
        <v>11</v>
      </c>
      <c r="F10" s="37" t="s">
        <v>36</v>
      </c>
      <c r="G10" s="58">
        <v>174500</v>
      </c>
      <c r="H10" s="59">
        <v>3.5</v>
      </c>
      <c r="I10" s="58">
        <f t="shared" si="0"/>
        <v>49857</v>
      </c>
      <c r="K10" s="60"/>
    </row>
    <row r="11" s="37" customFormat="1" ht="12.75" spans="1:14">
      <c r="A11" s="37" t="s">
        <v>7</v>
      </c>
      <c r="B11" s="37" t="s">
        <v>8</v>
      </c>
      <c r="C11" s="37" t="s">
        <v>37</v>
      </c>
      <c r="D11" s="37" t="s">
        <v>38</v>
      </c>
      <c r="E11" s="37" t="s">
        <v>11</v>
      </c>
      <c r="F11" s="37" t="s">
        <v>39</v>
      </c>
      <c r="G11" s="58">
        <v>171400</v>
      </c>
      <c r="H11" s="59">
        <v>3.5</v>
      </c>
      <c r="I11" s="58">
        <f t="shared" si="0"/>
        <v>48971</v>
      </c>
      <c r="K11" s="60"/>
    </row>
    <row r="12" s="37" customFormat="1" ht="12.75" spans="1:14">
      <c r="A12" s="37" t="s">
        <v>7</v>
      </c>
      <c r="B12" s="37" t="s">
        <v>8</v>
      </c>
      <c r="C12" s="37" t="s">
        <v>40</v>
      </c>
      <c r="D12" s="37" t="s">
        <v>41</v>
      </c>
      <c r="E12" s="37" t="s">
        <v>11</v>
      </c>
      <c r="F12" s="37" t="s">
        <v>42</v>
      </c>
      <c r="G12" s="58">
        <v>161691</v>
      </c>
      <c r="H12" s="59">
        <v>3.5</v>
      </c>
      <c r="I12" s="58">
        <f t="shared" si="0"/>
        <v>46197</v>
      </c>
      <c r="K12" s="60"/>
    </row>
    <row r="13" s="37" customFormat="1" ht="12.75" spans="1:14">
      <c r="A13" s="37" t="s">
        <v>7</v>
      </c>
      <c r="B13" s="37" t="s">
        <v>8</v>
      </c>
      <c r="C13" s="37" t="s">
        <v>43</v>
      </c>
      <c r="D13" s="37" t="s">
        <v>44</v>
      </c>
      <c r="E13" s="37" t="s">
        <v>11</v>
      </c>
      <c r="F13" s="37" t="s">
        <v>45</v>
      </c>
      <c r="G13" s="58">
        <v>180000</v>
      </c>
      <c r="H13" s="59">
        <v>3.5</v>
      </c>
      <c r="I13" s="58">
        <f t="shared" si="0"/>
        <v>51428</v>
      </c>
      <c r="K13" s="60"/>
    </row>
    <row r="14" s="37" customFormat="1" ht="12.75" spans="1:14">
      <c r="A14" s="37" t="s">
        <v>46</v>
      </c>
      <c r="B14" s="37" t="s">
        <v>8</v>
      </c>
      <c r="C14" s="37" t="s">
        <v>47</v>
      </c>
      <c r="D14" s="37" t="s">
        <v>10</v>
      </c>
      <c r="E14" s="37" t="s">
        <v>48</v>
      </c>
      <c r="F14" s="37" t="s">
        <v>49</v>
      </c>
      <c r="G14" s="58">
        <v>189000</v>
      </c>
      <c r="H14" s="59">
        <v>3.75</v>
      </c>
      <c r="I14" s="58">
        <f t="shared" si="0"/>
        <v>50400</v>
      </c>
      <c r="K14" s="60"/>
    </row>
    <row r="15" s="37" customFormat="1" ht="12.75" spans="1:14">
      <c r="A15" s="37" t="s">
        <v>46</v>
      </c>
      <c r="B15" s="37" t="s">
        <v>8</v>
      </c>
      <c r="C15" s="37" t="s">
        <v>50</v>
      </c>
      <c r="D15" s="37" t="s">
        <v>17</v>
      </c>
      <c r="E15" s="37" t="s">
        <v>48</v>
      </c>
      <c r="F15" s="37" t="s">
        <v>51</v>
      </c>
      <c r="G15" s="58">
        <v>170000</v>
      </c>
      <c r="H15" s="59">
        <v>3.65</v>
      </c>
      <c r="I15" s="58">
        <f t="shared" si="0"/>
        <v>46575</v>
      </c>
      <c r="J15" s="63"/>
      <c r="K15" s="60"/>
    </row>
    <row r="16" s="37" customFormat="1" ht="12.75" spans="1:14">
      <c r="A16" s="37" t="s">
        <v>46</v>
      </c>
      <c r="B16" s="37" t="s">
        <v>8</v>
      </c>
      <c r="C16" s="37" t="s">
        <v>52</v>
      </c>
      <c r="D16" s="37" t="s">
        <v>20</v>
      </c>
      <c r="E16" s="37" t="s">
        <v>48</v>
      </c>
      <c r="F16" s="37" t="s">
        <v>53</v>
      </c>
      <c r="G16" s="58">
        <v>170460</v>
      </c>
      <c r="H16" s="59">
        <v>3.5</v>
      </c>
      <c r="I16" s="58">
        <f t="shared" si="0"/>
        <v>48702</v>
      </c>
      <c r="J16" s="63"/>
    </row>
    <row r="17" s="37" customFormat="1" ht="12.75" spans="1:14">
      <c r="A17" s="37" t="s">
        <v>46</v>
      </c>
      <c r="B17" s="37" t="s">
        <v>8</v>
      </c>
      <c r="C17" s="37" t="s">
        <v>54</v>
      </c>
      <c r="D17" s="37" t="s">
        <v>23</v>
      </c>
      <c r="E17" s="37" t="s">
        <v>48</v>
      </c>
      <c r="F17" s="37" t="s">
        <v>55</v>
      </c>
      <c r="G17" s="58">
        <v>168300</v>
      </c>
      <c r="H17" s="59">
        <v>3.5</v>
      </c>
      <c r="I17" s="58">
        <f t="shared" si="0"/>
        <v>48085</v>
      </c>
      <c r="J17" s="63"/>
      <c r="K17" s="60"/>
    </row>
    <row r="18" s="37" customFormat="1" ht="12.75" spans="1:14">
      <c r="A18" s="37" t="s">
        <v>46</v>
      </c>
      <c r="B18" s="37" t="s">
        <v>8</v>
      </c>
      <c r="C18" s="37" t="s">
        <v>56</v>
      </c>
      <c r="D18" s="37" t="s">
        <v>14</v>
      </c>
      <c r="E18" s="37" t="s">
        <v>48</v>
      </c>
      <c r="F18" s="37" t="s">
        <v>57</v>
      </c>
      <c r="G18" s="58">
        <v>181640</v>
      </c>
      <c r="H18" s="59">
        <v>3.5</v>
      </c>
      <c r="I18" s="58">
        <f t="shared" si="0"/>
        <v>51897</v>
      </c>
      <c r="K18" s="60"/>
    </row>
    <row r="19" s="37" customFormat="1" ht="12.75" spans="1:14">
      <c r="A19" s="37" t="s">
        <v>46</v>
      </c>
      <c r="B19" s="37" t="s">
        <v>8</v>
      </c>
      <c r="C19" s="37" t="s">
        <v>58</v>
      </c>
      <c r="D19" s="37" t="s">
        <v>26</v>
      </c>
      <c r="E19" s="37" t="s">
        <v>48</v>
      </c>
      <c r="F19" s="37" t="s">
        <v>59</v>
      </c>
      <c r="G19" s="58">
        <v>171000</v>
      </c>
      <c r="H19" s="59">
        <v>3.72</v>
      </c>
      <c r="I19" s="58">
        <f t="shared" si="0"/>
        <v>45967</v>
      </c>
      <c r="K19" s="60"/>
    </row>
    <row r="20" s="37" customFormat="1" ht="12.75" spans="1:14">
      <c r="A20" s="37" t="s">
        <v>46</v>
      </c>
      <c r="B20" s="37" t="s">
        <v>8</v>
      </c>
      <c r="C20" s="37" t="s">
        <v>60</v>
      </c>
      <c r="D20" s="37" t="s">
        <v>29</v>
      </c>
      <c r="E20" s="37" t="s">
        <v>48</v>
      </c>
      <c r="F20" s="37" t="s">
        <v>61</v>
      </c>
      <c r="G20" s="58">
        <v>173090</v>
      </c>
      <c r="H20" s="59">
        <v>3.5</v>
      </c>
      <c r="I20" s="58">
        <f t="shared" si="0"/>
        <v>49454</v>
      </c>
      <c r="K20" s="60"/>
    </row>
    <row r="21" s="37" customFormat="1" ht="12.75" spans="1:14">
      <c r="A21" s="37" t="s">
        <v>46</v>
      </c>
      <c r="B21" s="37" t="s">
        <v>8</v>
      </c>
      <c r="C21" s="37" t="s">
        <v>62</v>
      </c>
      <c r="D21" s="37" t="s">
        <v>32</v>
      </c>
      <c r="E21" s="37" t="s">
        <v>48</v>
      </c>
      <c r="F21" s="37" t="s">
        <v>63</v>
      </c>
      <c r="G21" s="58">
        <v>175090</v>
      </c>
      <c r="H21" s="59">
        <v>3.5</v>
      </c>
      <c r="I21" s="58">
        <f t="shared" si="0"/>
        <v>50025</v>
      </c>
      <c r="K21" s="60"/>
    </row>
    <row r="22" s="37" customFormat="1" ht="12.75" spans="1:14">
      <c r="A22" s="37" t="s">
        <v>46</v>
      </c>
      <c r="B22" s="37" t="s">
        <v>8</v>
      </c>
      <c r="C22" s="37" t="s">
        <v>64</v>
      </c>
      <c r="D22" s="37" t="s">
        <v>35</v>
      </c>
      <c r="E22" s="37" t="s">
        <v>48</v>
      </c>
      <c r="F22" s="37" t="s">
        <v>65</v>
      </c>
      <c r="G22" s="58">
        <v>176890</v>
      </c>
      <c r="H22" s="59">
        <v>3.5</v>
      </c>
      <c r="I22" s="58">
        <f t="shared" si="0"/>
        <v>50540</v>
      </c>
      <c r="K22" s="60"/>
    </row>
    <row r="23" s="37" customFormat="1" ht="12.75" spans="1:14">
      <c r="A23" s="37" t="s">
        <v>46</v>
      </c>
      <c r="B23" s="37" t="s">
        <v>8</v>
      </c>
      <c r="C23" s="37" t="s">
        <v>66</v>
      </c>
      <c r="D23" s="37" t="s">
        <v>38</v>
      </c>
      <c r="E23" s="37" t="s">
        <v>48</v>
      </c>
      <c r="F23" s="37" t="s">
        <v>67</v>
      </c>
      <c r="G23" s="58">
        <v>180200</v>
      </c>
      <c r="H23" s="59">
        <v>3.6</v>
      </c>
      <c r="I23" s="58">
        <f t="shared" si="0"/>
        <v>50055</v>
      </c>
      <c r="K23" s="60"/>
    </row>
    <row r="24" s="53" customFormat="1" ht="12.75" spans="1:14">
      <c r="A24" s="37" t="s">
        <v>46</v>
      </c>
      <c r="B24" s="37" t="s">
        <v>8</v>
      </c>
      <c r="C24" s="37" t="s">
        <v>68</v>
      </c>
      <c r="D24" s="37" t="s">
        <v>41</v>
      </c>
      <c r="E24" s="37" t="s">
        <v>48</v>
      </c>
      <c r="F24" s="37" t="s">
        <v>69</v>
      </c>
      <c r="G24" s="58">
        <v>166300</v>
      </c>
      <c r="H24" s="59">
        <v>3.6</v>
      </c>
      <c r="I24" s="58">
        <f t="shared" si="0"/>
        <v>46194</v>
      </c>
      <c r="J24" s="63"/>
      <c r="K24" s="60"/>
      <c r="L24" s="37"/>
      <c r="M24" s="37"/>
      <c r="N24" s="37"/>
    </row>
    <row r="25" s="53" customFormat="1" ht="12.75" spans="1:14">
      <c r="A25" s="37" t="s">
        <v>46</v>
      </c>
      <c r="B25" s="37" t="s">
        <v>8</v>
      </c>
      <c r="C25" s="37" t="s">
        <v>70</v>
      </c>
      <c r="D25" s="37" t="s">
        <v>44</v>
      </c>
      <c r="E25" s="37" t="s">
        <v>48</v>
      </c>
      <c r="F25" s="37" t="s">
        <v>71</v>
      </c>
      <c r="G25" s="58">
        <v>180000</v>
      </c>
      <c r="H25" s="59">
        <v>3.72</v>
      </c>
      <c r="I25" s="58">
        <f t="shared" si="0"/>
        <v>48387</v>
      </c>
      <c r="J25" s="63"/>
      <c r="K25" s="37"/>
      <c r="L25" s="37"/>
      <c r="M25" s="37"/>
      <c r="N25" s="37"/>
    </row>
    <row r="26" s="53" customFormat="1" ht="12.75" spans="1:14">
      <c r="A26" s="37" t="s">
        <v>72</v>
      </c>
      <c r="B26" s="37" t="s">
        <v>73</v>
      </c>
      <c r="C26" s="64" t="s">
        <v>74</v>
      </c>
      <c r="D26" s="64" t="s">
        <v>75</v>
      </c>
      <c r="E26" s="37" t="s">
        <v>76</v>
      </c>
      <c r="F26" s="37" t="s">
        <v>77</v>
      </c>
      <c r="G26" s="58">
        <v>163780</v>
      </c>
      <c r="H26" s="59">
        <v>2.2</v>
      </c>
      <c r="I26" s="58">
        <f t="shared" si="0"/>
        <v>74445</v>
      </c>
      <c r="J26" s="63"/>
      <c r="K26" s="60"/>
      <c r="L26" s="37"/>
      <c r="M26" s="37"/>
      <c r="N26" s="37"/>
    </row>
    <row r="27" s="53" customFormat="1" ht="12.75" spans="1:14">
      <c r="A27" s="54" t="s">
        <v>72</v>
      </c>
      <c r="B27" s="54" t="s">
        <v>73</v>
      </c>
      <c r="C27" s="65" t="s">
        <v>78</v>
      </c>
      <c r="D27" s="65" t="s">
        <v>17</v>
      </c>
      <c r="E27" s="54" t="s">
        <v>76</v>
      </c>
      <c r="F27" s="37" t="s">
        <v>79</v>
      </c>
      <c r="G27" s="58">
        <v>164200</v>
      </c>
      <c r="H27" s="66">
        <v>2.2</v>
      </c>
      <c r="I27" s="58">
        <f t="shared" si="0"/>
        <v>74636</v>
      </c>
      <c r="J27" s="37"/>
      <c r="K27" s="60"/>
      <c r="L27" s="37"/>
      <c r="M27" s="37"/>
      <c r="N27" s="37"/>
    </row>
    <row r="28" s="53" customFormat="1" ht="12.75" spans="1:14">
      <c r="A28" s="37" t="s">
        <v>72</v>
      </c>
      <c r="B28" s="37" t="s">
        <v>73</v>
      </c>
      <c r="C28" s="64" t="s">
        <v>80</v>
      </c>
      <c r="D28" s="64" t="s">
        <v>81</v>
      </c>
      <c r="E28" s="37" t="s">
        <v>76</v>
      </c>
      <c r="F28" s="37" t="s">
        <v>82</v>
      </c>
      <c r="G28" s="58">
        <v>162700</v>
      </c>
      <c r="H28" s="59">
        <v>2.27</v>
      </c>
      <c r="I28" s="58">
        <f t="shared" si="0"/>
        <v>71674</v>
      </c>
      <c r="J28" s="37"/>
      <c r="K28" s="60"/>
      <c r="L28" s="37"/>
      <c r="M28" s="37"/>
      <c r="N28" s="37"/>
    </row>
    <row r="29" s="53" customFormat="1" ht="12.75" spans="1:14">
      <c r="A29" s="54" t="s">
        <v>72</v>
      </c>
      <c r="B29" s="54" t="s">
        <v>73</v>
      </c>
      <c r="C29" s="65" t="s">
        <v>83</v>
      </c>
      <c r="D29" s="65" t="s">
        <v>84</v>
      </c>
      <c r="E29" s="54" t="s">
        <v>76</v>
      </c>
      <c r="F29" s="37" t="s">
        <v>85</v>
      </c>
      <c r="G29" s="58">
        <v>164200</v>
      </c>
      <c r="H29" s="66">
        <v>2.37</v>
      </c>
      <c r="I29" s="58">
        <f t="shared" si="0"/>
        <v>69282</v>
      </c>
      <c r="J29" s="37"/>
      <c r="K29" s="60"/>
      <c r="L29" s="37"/>
      <c r="M29" s="37"/>
      <c r="N29" s="37"/>
    </row>
    <row r="30" s="53" customFormat="1" ht="12.75" spans="1:14">
      <c r="A30" s="37" t="s">
        <v>72</v>
      </c>
      <c r="B30" s="37" t="s">
        <v>73</v>
      </c>
      <c r="C30" s="64" t="s">
        <v>86</v>
      </c>
      <c r="D30" s="64" t="s">
        <v>87</v>
      </c>
      <c r="E30" s="37" t="s">
        <v>76</v>
      </c>
      <c r="F30" s="37" t="s">
        <v>88</v>
      </c>
      <c r="G30" s="58">
        <v>162800</v>
      </c>
      <c r="H30" s="59">
        <v>2.2</v>
      </c>
      <c r="I30" s="58">
        <f t="shared" si="0"/>
        <v>74000</v>
      </c>
      <c r="J30" s="37"/>
      <c r="K30" s="60"/>
      <c r="L30" s="37"/>
      <c r="M30" s="37"/>
      <c r="N30" s="37"/>
    </row>
    <row r="31" s="53" customFormat="1" ht="12.75" spans="1:14">
      <c r="A31" s="54" t="s">
        <v>72</v>
      </c>
      <c r="B31" s="54" t="s">
        <v>73</v>
      </c>
      <c r="C31" s="65" t="s">
        <v>89</v>
      </c>
      <c r="D31" s="65" t="s">
        <v>90</v>
      </c>
      <c r="E31" s="54" t="s">
        <v>76</v>
      </c>
      <c r="F31" s="37" t="s">
        <v>91</v>
      </c>
      <c r="G31" s="58">
        <v>160290</v>
      </c>
      <c r="H31" s="66">
        <v>2.2</v>
      </c>
      <c r="I31" s="58">
        <f t="shared" si="0"/>
        <v>72859</v>
      </c>
      <c r="J31" s="37"/>
      <c r="K31" s="60"/>
      <c r="L31" s="37"/>
      <c r="M31" s="37"/>
      <c r="N31" s="37"/>
    </row>
    <row r="32" s="37" customFormat="1" ht="12.75" spans="1:14">
      <c r="A32" s="37" t="s">
        <v>72</v>
      </c>
      <c r="B32" s="37" t="s">
        <v>73</v>
      </c>
      <c r="C32" s="64" t="s">
        <v>92</v>
      </c>
      <c r="D32" s="64" t="s">
        <v>93</v>
      </c>
      <c r="E32" s="37" t="s">
        <v>76</v>
      </c>
      <c r="F32" s="37" t="s">
        <v>94</v>
      </c>
      <c r="G32" s="58">
        <v>165250</v>
      </c>
      <c r="H32" s="59">
        <v>2.27</v>
      </c>
      <c r="I32" s="58">
        <f t="shared" si="0"/>
        <v>72797</v>
      </c>
      <c r="K32" s="60"/>
    </row>
    <row r="33" s="37" customFormat="1" ht="12.75" spans="1:11">
      <c r="A33" s="54" t="s">
        <v>72</v>
      </c>
      <c r="B33" s="54" t="s">
        <v>73</v>
      </c>
      <c r="C33" s="65" t="s">
        <v>95</v>
      </c>
      <c r="D33" s="65" t="s">
        <v>23</v>
      </c>
      <c r="E33" s="54" t="s">
        <v>76</v>
      </c>
      <c r="F33" s="37" t="s">
        <v>96</v>
      </c>
      <c r="G33" s="58">
        <v>159200</v>
      </c>
      <c r="H33" s="66">
        <v>2.2</v>
      </c>
      <c r="I33" s="58">
        <f t="shared" si="0"/>
        <v>72363</v>
      </c>
      <c r="K33" s="60"/>
    </row>
    <row r="34" s="37" customFormat="1" ht="12.75" spans="1:11">
      <c r="A34" s="37" t="s">
        <v>72</v>
      </c>
      <c r="B34" s="37" t="s">
        <v>73</v>
      </c>
      <c r="C34" s="64" t="s">
        <v>97</v>
      </c>
      <c r="D34" s="64" t="s">
        <v>98</v>
      </c>
      <c r="E34" s="37" t="s">
        <v>76</v>
      </c>
      <c r="F34" s="37" t="s">
        <v>99</v>
      </c>
      <c r="G34" s="58">
        <v>164200</v>
      </c>
      <c r="H34" s="59">
        <v>2.2</v>
      </c>
      <c r="I34" s="58">
        <f t="shared" si="0"/>
        <v>74636</v>
      </c>
      <c r="K34" s="60"/>
    </row>
    <row r="35" s="37" customFormat="1" ht="12.75" spans="1:11">
      <c r="A35" s="54" t="s">
        <v>72</v>
      </c>
      <c r="B35" s="54" t="s">
        <v>73</v>
      </c>
      <c r="C35" s="65" t="s">
        <v>100</v>
      </c>
      <c r="D35" s="67" t="s">
        <v>101</v>
      </c>
      <c r="E35" s="54" t="s">
        <v>76</v>
      </c>
      <c r="F35" s="37" t="s">
        <v>102</v>
      </c>
      <c r="G35" s="58">
        <v>165500</v>
      </c>
      <c r="H35" s="66">
        <v>2.2</v>
      </c>
      <c r="I35" s="58">
        <f t="shared" si="0"/>
        <v>75227</v>
      </c>
      <c r="K35" s="60"/>
    </row>
    <row r="36" s="37" customFormat="1" ht="12.75" spans="1:11">
      <c r="A36" s="37" t="s">
        <v>72</v>
      </c>
      <c r="B36" s="37" t="s">
        <v>73</v>
      </c>
      <c r="C36" s="64" t="s">
        <v>103</v>
      </c>
      <c r="D36" s="64" t="s">
        <v>104</v>
      </c>
      <c r="E36" s="37" t="s">
        <v>76</v>
      </c>
      <c r="F36" s="37" t="s">
        <v>105</v>
      </c>
      <c r="G36" s="58">
        <v>171090</v>
      </c>
      <c r="H36" s="59">
        <v>2.2</v>
      </c>
      <c r="I36" s="58">
        <f t="shared" si="0"/>
        <v>77768</v>
      </c>
      <c r="K36" s="60"/>
    </row>
    <row r="37" s="37" customFormat="1" ht="12.75" spans="1:11">
      <c r="A37" s="54" t="s">
        <v>72</v>
      </c>
      <c r="B37" s="54" t="s">
        <v>73</v>
      </c>
      <c r="C37" s="65" t="s">
        <v>106</v>
      </c>
      <c r="D37" s="65" t="s">
        <v>14</v>
      </c>
      <c r="E37" s="54" t="s">
        <v>76</v>
      </c>
      <c r="F37" s="37" t="s">
        <v>107</v>
      </c>
      <c r="G37" s="58">
        <v>175860</v>
      </c>
      <c r="H37" s="66">
        <v>2.2</v>
      </c>
      <c r="I37" s="58">
        <f t="shared" si="0"/>
        <v>79936</v>
      </c>
      <c r="K37" s="60"/>
    </row>
    <row r="38" s="37" customFormat="1" ht="12.75" spans="1:11">
      <c r="A38" s="37" t="s">
        <v>72</v>
      </c>
      <c r="B38" s="37" t="s">
        <v>73</v>
      </c>
      <c r="C38" s="64" t="s">
        <v>108</v>
      </c>
      <c r="D38" s="64" t="s">
        <v>109</v>
      </c>
      <c r="E38" s="37" t="s">
        <v>76</v>
      </c>
      <c r="F38" s="37" t="s">
        <v>110</v>
      </c>
      <c r="G38" s="58">
        <v>161240</v>
      </c>
      <c r="H38" s="59">
        <v>2.2</v>
      </c>
      <c r="I38" s="58">
        <f t="shared" si="0"/>
        <v>73290</v>
      </c>
      <c r="K38" s="60"/>
    </row>
    <row r="39" s="37" customFormat="1" ht="12.75" spans="1:11">
      <c r="A39" s="54" t="s">
        <v>72</v>
      </c>
      <c r="B39" s="54" t="s">
        <v>73</v>
      </c>
      <c r="C39" s="65" t="s">
        <v>111</v>
      </c>
      <c r="D39" s="65" t="s">
        <v>26</v>
      </c>
      <c r="E39" s="54" t="s">
        <v>76</v>
      </c>
      <c r="F39" s="37" t="s">
        <v>112</v>
      </c>
      <c r="G39" s="58">
        <v>167500</v>
      </c>
      <c r="H39" s="66">
        <v>2.2</v>
      </c>
      <c r="I39" s="58">
        <f t="shared" si="0"/>
        <v>76136</v>
      </c>
      <c r="K39" s="60"/>
    </row>
    <row r="40" s="37" customFormat="1" ht="12.75" spans="1:11">
      <c r="A40" s="37" t="s">
        <v>72</v>
      </c>
      <c r="B40" s="37" t="s">
        <v>73</v>
      </c>
      <c r="C40" s="64" t="s">
        <v>113</v>
      </c>
      <c r="D40" s="64" t="s">
        <v>114</v>
      </c>
      <c r="E40" s="37" t="s">
        <v>76</v>
      </c>
      <c r="F40" s="37" t="s">
        <v>115</v>
      </c>
      <c r="G40" s="58">
        <v>165650</v>
      </c>
      <c r="H40" s="59">
        <v>2.2</v>
      </c>
      <c r="I40" s="58">
        <f t="shared" si="0"/>
        <v>75295</v>
      </c>
      <c r="K40" s="60"/>
    </row>
    <row r="41" s="37" customFormat="1" ht="12.75" spans="1:11">
      <c r="A41" s="37" t="s">
        <v>72</v>
      </c>
      <c r="B41" s="37" t="s">
        <v>73</v>
      </c>
      <c r="C41" s="64" t="s">
        <v>116</v>
      </c>
      <c r="D41" s="64" t="s">
        <v>29</v>
      </c>
      <c r="E41" s="37" t="s">
        <v>76</v>
      </c>
      <c r="F41" s="37" t="s">
        <v>117</v>
      </c>
      <c r="G41" s="58">
        <v>168450</v>
      </c>
      <c r="H41" s="59">
        <v>2.2</v>
      </c>
      <c r="I41" s="58">
        <f t="shared" si="0"/>
        <v>76568</v>
      </c>
      <c r="K41" s="60"/>
    </row>
    <row r="42" s="37" customFormat="1" ht="12.75" spans="1:11">
      <c r="A42" s="54" t="s">
        <v>72</v>
      </c>
      <c r="B42" s="54" t="s">
        <v>73</v>
      </c>
      <c r="C42" s="65" t="s">
        <v>118</v>
      </c>
      <c r="D42" s="65" t="s">
        <v>119</v>
      </c>
      <c r="E42" s="54" t="s">
        <v>76</v>
      </c>
      <c r="F42" s="37" t="s">
        <v>120</v>
      </c>
      <c r="G42" s="58">
        <v>162180</v>
      </c>
      <c r="H42" s="66">
        <v>2.37</v>
      </c>
      <c r="I42" s="58">
        <f t="shared" si="0"/>
        <v>68430</v>
      </c>
      <c r="K42" s="60"/>
    </row>
    <row r="43" s="37" customFormat="1" ht="12.75" spans="1:11">
      <c r="A43" s="37" t="s">
        <v>72</v>
      </c>
      <c r="B43" s="37" t="s">
        <v>73</v>
      </c>
      <c r="C43" s="64" t="s">
        <v>121</v>
      </c>
      <c r="D43" s="64" t="s">
        <v>122</v>
      </c>
      <c r="E43" s="37" t="s">
        <v>76</v>
      </c>
      <c r="F43" s="37" t="s">
        <v>123</v>
      </c>
      <c r="G43" s="58">
        <v>162190</v>
      </c>
      <c r="H43" s="59">
        <v>2.2</v>
      </c>
      <c r="I43" s="58">
        <f t="shared" si="0"/>
        <v>73722</v>
      </c>
      <c r="K43" s="60"/>
    </row>
    <row r="44" s="37" customFormat="1" ht="12.75" spans="1:11">
      <c r="A44" s="37" t="s">
        <v>72</v>
      </c>
      <c r="B44" s="37" t="s">
        <v>73</v>
      </c>
      <c r="C44" s="64" t="s">
        <v>124</v>
      </c>
      <c r="D44" s="64" t="s">
        <v>32</v>
      </c>
      <c r="E44" s="37" t="s">
        <v>76</v>
      </c>
      <c r="F44" s="37" t="s">
        <v>125</v>
      </c>
      <c r="G44" s="58">
        <v>167100</v>
      </c>
      <c r="H44" s="59">
        <v>2.2</v>
      </c>
      <c r="I44" s="58">
        <f t="shared" si="0"/>
        <v>75954</v>
      </c>
      <c r="K44" s="60"/>
    </row>
    <row r="45" s="37" customFormat="1" ht="12.75" spans="1:11">
      <c r="A45" s="37" t="s">
        <v>72</v>
      </c>
      <c r="B45" s="37" t="s">
        <v>73</v>
      </c>
      <c r="C45" s="64" t="s">
        <v>126</v>
      </c>
      <c r="D45" s="64" t="s">
        <v>127</v>
      </c>
      <c r="E45" s="37" t="s">
        <v>76</v>
      </c>
      <c r="F45" s="37" t="s">
        <v>128</v>
      </c>
      <c r="G45" s="58">
        <v>165600</v>
      </c>
      <c r="H45" s="59">
        <v>2.21</v>
      </c>
      <c r="I45" s="58">
        <f t="shared" si="0"/>
        <v>74932</v>
      </c>
      <c r="K45" s="60"/>
    </row>
    <row r="46" s="37" customFormat="1" ht="12.75" spans="1:11">
      <c r="A46" s="54" t="s">
        <v>72</v>
      </c>
      <c r="B46" s="54" t="s">
        <v>73</v>
      </c>
      <c r="C46" s="65" t="s">
        <v>129</v>
      </c>
      <c r="D46" s="65" t="s">
        <v>130</v>
      </c>
      <c r="E46" s="54" t="s">
        <v>76</v>
      </c>
      <c r="F46" s="37" t="s">
        <v>131</v>
      </c>
      <c r="G46" s="58">
        <v>173650</v>
      </c>
      <c r="H46" s="66">
        <v>2.2</v>
      </c>
      <c r="I46" s="58">
        <f t="shared" si="0"/>
        <v>78931</v>
      </c>
      <c r="K46" s="60"/>
    </row>
    <row r="47" s="37" customFormat="1" ht="12.75" spans="1:11">
      <c r="A47" s="37" t="s">
        <v>72</v>
      </c>
      <c r="B47" s="37" t="s">
        <v>73</v>
      </c>
      <c r="C47" s="64" t="s">
        <v>132</v>
      </c>
      <c r="D47" s="64" t="s">
        <v>133</v>
      </c>
      <c r="E47" s="37" t="s">
        <v>76</v>
      </c>
      <c r="F47" s="37" t="s">
        <v>134</v>
      </c>
      <c r="G47" s="58">
        <v>169700</v>
      </c>
      <c r="H47" s="59">
        <v>2.2</v>
      </c>
      <c r="I47" s="58">
        <f t="shared" si="0"/>
        <v>77136</v>
      </c>
      <c r="K47" s="60"/>
    </row>
    <row r="48" s="37" customFormat="1" ht="12.75" spans="1:11">
      <c r="A48" s="54" t="s">
        <v>72</v>
      </c>
      <c r="B48" s="54" t="s">
        <v>73</v>
      </c>
      <c r="C48" s="65" t="s">
        <v>135</v>
      </c>
      <c r="D48" s="65" t="s">
        <v>136</v>
      </c>
      <c r="E48" s="54" t="s">
        <v>76</v>
      </c>
      <c r="F48" s="37" t="s">
        <v>137</v>
      </c>
      <c r="G48" s="58">
        <v>170800</v>
      </c>
      <c r="H48" s="66">
        <v>2.2</v>
      </c>
      <c r="I48" s="58">
        <f t="shared" si="0"/>
        <v>77636</v>
      </c>
      <c r="K48" s="60"/>
    </row>
    <row r="49" s="37" customFormat="1" ht="12.75" spans="1:11">
      <c r="A49" s="37" t="s">
        <v>72</v>
      </c>
      <c r="B49" s="37" t="s">
        <v>73</v>
      </c>
      <c r="C49" s="64" t="s">
        <v>138</v>
      </c>
      <c r="D49" s="64" t="s">
        <v>35</v>
      </c>
      <c r="E49" s="37" t="s">
        <v>76</v>
      </c>
      <c r="F49" s="37" t="s">
        <v>139</v>
      </c>
      <c r="G49" s="58">
        <v>168500</v>
      </c>
      <c r="H49" s="59">
        <v>2.2</v>
      </c>
      <c r="I49" s="58">
        <f t="shared" si="0"/>
        <v>76590</v>
      </c>
      <c r="K49" s="60"/>
    </row>
    <row r="50" s="37" customFormat="1" ht="12.75" spans="1:11">
      <c r="A50" s="54" t="s">
        <v>72</v>
      </c>
      <c r="B50" s="54" t="s">
        <v>73</v>
      </c>
      <c r="C50" s="65" t="s">
        <v>140</v>
      </c>
      <c r="D50" s="65" t="s">
        <v>141</v>
      </c>
      <c r="E50" s="54" t="s">
        <v>76</v>
      </c>
      <c r="F50" s="37" t="s">
        <v>142</v>
      </c>
      <c r="G50" s="58">
        <v>172200</v>
      </c>
      <c r="H50" s="66">
        <v>2.2</v>
      </c>
      <c r="I50" s="58">
        <f t="shared" si="0"/>
        <v>78272</v>
      </c>
      <c r="K50" s="60"/>
    </row>
    <row r="51" s="37" customFormat="1" ht="12.75" spans="1:11">
      <c r="A51" s="37" t="s">
        <v>72</v>
      </c>
      <c r="B51" s="37" t="s">
        <v>73</v>
      </c>
      <c r="C51" s="64" t="s">
        <v>143</v>
      </c>
      <c r="D51" s="64" t="s">
        <v>38</v>
      </c>
      <c r="E51" s="37" t="s">
        <v>76</v>
      </c>
      <c r="F51" s="37" t="s">
        <v>144</v>
      </c>
      <c r="G51" s="58">
        <v>168700</v>
      </c>
      <c r="H51" s="59">
        <v>2.2</v>
      </c>
      <c r="I51" s="58">
        <f t="shared" si="0"/>
        <v>76681</v>
      </c>
      <c r="K51" s="60"/>
    </row>
    <row r="52" s="37" customFormat="1" ht="12.75" spans="1:11">
      <c r="A52" s="54" t="s">
        <v>72</v>
      </c>
      <c r="B52" s="54" t="s">
        <v>73</v>
      </c>
      <c r="C52" s="65" t="s">
        <v>145</v>
      </c>
      <c r="D52" s="65" t="s">
        <v>146</v>
      </c>
      <c r="E52" s="54" t="s">
        <v>76</v>
      </c>
      <c r="F52" s="37" t="s">
        <v>147</v>
      </c>
      <c r="G52" s="58">
        <v>162850</v>
      </c>
      <c r="H52" s="66">
        <v>2.2</v>
      </c>
      <c r="I52" s="58">
        <f t="shared" si="0"/>
        <v>74022</v>
      </c>
      <c r="K52" s="60"/>
    </row>
    <row r="53" s="37" customFormat="1" ht="12.75" spans="1:11">
      <c r="A53" s="37" t="s">
        <v>72</v>
      </c>
      <c r="B53" s="37" t="s">
        <v>73</v>
      </c>
      <c r="C53" s="64" t="s">
        <v>148</v>
      </c>
      <c r="D53" s="64" t="s">
        <v>149</v>
      </c>
      <c r="E53" s="37" t="s">
        <v>76</v>
      </c>
      <c r="F53" s="37" t="s">
        <v>150</v>
      </c>
      <c r="G53" s="58">
        <v>167610</v>
      </c>
      <c r="H53" s="59">
        <v>2.2</v>
      </c>
      <c r="I53" s="58">
        <f t="shared" si="0"/>
        <v>76186</v>
      </c>
      <c r="K53" s="60"/>
    </row>
    <row r="54" s="37" customFormat="1" ht="12.75" spans="1:11">
      <c r="A54" s="54" t="s">
        <v>72</v>
      </c>
      <c r="B54" s="54" t="s">
        <v>73</v>
      </c>
      <c r="C54" s="65" t="s">
        <v>151</v>
      </c>
      <c r="D54" s="65" t="s">
        <v>152</v>
      </c>
      <c r="E54" s="54" t="s">
        <v>76</v>
      </c>
      <c r="F54" s="37" t="s">
        <v>153</v>
      </c>
      <c r="G54" s="58">
        <v>159250</v>
      </c>
      <c r="H54" s="66">
        <v>2.2</v>
      </c>
      <c r="I54" s="58">
        <f t="shared" si="0"/>
        <v>72386</v>
      </c>
      <c r="K54" s="60"/>
    </row>
    <row r="55" s="37" customFormat="1" ht="12.75" spans="1:11">
      <c r="A55" s="54" t="s">
        <v>72</v>
      </c>
      <c r="B55" s="54" t="s">
        <v>73</v>
      </c>
      <c r="C55" s="65" t="s">
        <v>154</v>
      </c>
      <c r="D55" s="65" t="s">
        <v>155</v>
      </c>
      <c r="E55" s="54" t="s">
        <v>76</v>
      </c>
      <c r="F55" s="37" t="s">
        <v>156</v>
      </c>
      <c r="G55" s="58">
        <v>169750</v>
      </c>
      <c r="H55" s="66">
        <v>2.2</v>
      </c>
      <c r="I55" s="58">
        <f t="shared" si="0"/>
        <v>77159</v>
      </c>
      <c r="K55" s="60"/>
    </row>
    <row r="56" s="37" customFormat="1" ht="12.75" spans="1:11">
      <c r="A56" s="37" t="s">
        <v>72</v>
      </c>
      <c r="B56" s="37" t="s">
        <v>73</v>
      </c>
      <c r="C56" s="64" t="s">
        <v>157</v>
      </c>
      <c r="D56" s="64" t="s">
        <v>158</v>
      </c>
      <c r="E56" s="37" t="s">
        <v>76</v>
      </c>
      <c r="F56" s="37" t="s">
        <v>159</v>
      </c>
      <c r="G56" s="58">
        <v>161250</v>
      </c>
      <c r="H56" s="59">
        <v>2.2</v>
      </c>
      <c r="I56" s="58">
        <f t="shared" si="0"/>
        <v>73295</v>
      </c>
      <c r="K56" s="60"/>
    </row>
    <row r="57" s="37" customFormat="1" ht="12.75" spans="1:11">
      <c r="A57" s="54" t="s">
        <v>72</v>
      </c>
      <c r="B57" s="54" t="s">
        <v>73</v>
      </c>
      <c r="C57" s="65" t="s">
        <v>160</v>
      </c>
      <c r="D57" s="65" t="s">
        <v>161</v>
      </c>
      <c r="E57" s="54" t="s">
        <v>76</v>
      </c>
      <c r="F57" s="37" t="s">
        <v>162</v>
      </c>
      <c r="G57" s="58">
        <v>168100</v>
      </c>
      <c r="H57" s="66">
        <v>2.2</v>
      </c>
      <c r="I57" s="58">
        <f t="shared" si="0"/>
        <v>76409</v>
      </c>
      <c r="K57" s="60"/>
    </row>
    <row r="58" s="37" customFormat="1" ht="12.75" spans="1:11">
      <c r="A58" s="37" t="s">
        <v>72</v>
      </c>
      <c r="B58" s="37" t="s">
        <v>73</v>
      </c>
      <c r="C58" s="64" t="s">
        <v>163</v>
      </c>
      <c r="D58" s="64" t="s">
        <v>41</v>
      </c>
      <c r="E58" s="37" t="s">
        <v>76</v>
      </c>
      <c r="F58" s="37" t="s">
        <v>164</v>
      </c>
      <c r="G58" s="58">
        <v>158960</v>
      </c>
      <c r="H58" s="59">
        <v>2.28</v>
      </c>
      <c r="I58" s="58">
        <f t="shared" si="0"/>
        <v>69719</v>
      </c>
      <c r="K58" s="60"/>
    </row>
    <row r="59" s="37" customFormat="1" ht="12.75" spans="1:11">
      <c r="A59" s="54" t="s">
        <v>72</v>
      </c>
      <c r="B59" s="54" t="s">
        <v>73</v>
      </c>
      <c r="C59" s="65" t="s">
        <v>165</v>
      </c>
      <c r="D59" s="65" t="s">
        <v>166</v>
      </c>
      <c r="E59" s="54" t="s">
        <v>76</v>
      </c>
      <c r="F59" s="37" t="s">
        <v>167</v>
      </c>
      <c r="G59" s="58">
        <v>163100</v>
      </c>
      <c r="H59" s="66">
        <v>2.2</v>
      </c>
      <c r="I59" s="58">
        <f t="shared" si="0"/>
        <v>74136</v>
      </c>
      <c r="K59" s="60"/>
    </row>
    <row r="60" s="37" customFormat="1" ht="12.75" spans="1:11">
      <c r="A60" s="37" t="s">
        <v>72</v>
      </c>
      <c r="B60" s="37" t="s">
        <v>73</v>
      </c>
      <c r="C60" s="64" t="s">
        <v>168</v>
      </c>
      <c r="D60" s="64" t="s">
        <v>169</v>
      </c>
      <c r="E60" s="37" t="s">
        <v>76</v>
      </c>
      <c r="F60" s="37" t="s">
        <v>170</v>
      </c>
      <c r="G60" s="58">
        <v>158940</v>
      </c>
      <c r="H60" s="59">
        <v>2.2</v>
      </c>
      <c r="I60" s="58">
        <f t="shared" si="0"/>
        <v>72245</v>
      </c>
      <c r="K60" s="60"/>
    </row>
    <row r="61" s="37" customFormat="1" ht="12.75" spans="1:11">
      <c r="A61" s="37" t="s">
        <v>72</v>
      </c>
      <c r="B61" s="37" t="s">
        <v>73</v>
      </c>
      <c r="C61" s="64" t="s">
        <v>171</v>
      </c>
      <c r="D61" s="64" t="s">
        <v>172</v>
      </c>
      <c r="E61" s="37" t="s">
        <v>76</v>
      </c>
      <c r="F61" s="37" t="s">
        <v>173</v>
      </c>
      <c r="G61" s="58">
        <v>167860</v>
      </c>
      <c r="H61" s="59">
        <v>2.27</v>
      </c>
      <c r="I61" s="58">
        <f t="shared" si="0"/>
        <v>73947</v>
      </c>
      <c r="K61" s="60"/>
    </row>
    <row r="62" s="37" customFormat="1" ht="12.75" spans="1:11">
      <c r="A62" s="37" t="s">
        <v>72</v>
      </c>
      <c r="B62" s="37" t="s">
        <v>73</v>
      </c>
      <c r="C62" s="64" t="s">
        <v>174</v>
      </c>
      <c r="D62" s="64" t="s">
        <v>175</v>
      </c>
      <c r="E62" s="37" t="s">
        <v>76</v>
      </c>
      <c r="F62" s="37" t="s">
        <v>176</v>
      </c>
      <c r="G62" s="58">
        <v>159170</v>
      </c>
      <c r="H62" s="59">
        <v>2.2</v>
      </c>
      <c r="I62" s="58">
        <f t="shared" si="0"/>
        <v>72350</v>
      </c>
      <c r="K62" s="60"/>
    </row>
    <row r="63" s="37" customFormat="1" ht="12.75" spans="1:11">
      <c r="A63" s="54" t="s">
        <v>72</v>
      </c>
      <c r="B63" s="54" t="s">
        <v>73</v>
      </c>
      <c r="C63" s="65" t="s">
        <v>177</v>
      </c>
      <c r="D63" s="65" t="s">
        <v>178</v>
      </c>
      <c r="E63" s="54" t="s">
        <v>76</v>
      </c>
      <c r="F63" s="37" t="s">
        <v>179</v>
      </c>
      <c r="G63" s="58">
        <v>162170</v>
      </c>
      <c r="H63" s="66">
        <v>2.2</v>
      </c>
      <c r="I63" s="58">
        <f t="shared" si="0"/>
        <v>73713</v>
      </c>
      <c r="K63" s="60"/>
    </row>
    <row r="64" s="37" customFormat="1" ht="12.75" spans="1:11">
      <c r="A64" s="37" t="s">
        <v>72</v>
      </c>
      <c r="B64" s="37" t="s">
        <v>73</v>
      </c>
      <c r="C64" s="64" t="s">
        <v>180</v>
      </c>
      <c r="D64" s="64" t="s">
        <v>181</v>
      </c>
      <c r="E64" s="37" t="s">
        <v>76</v>
      </c>
      <c r="F64" s="37" t="s">
        <v>182</v>
      </c>
      <c r="G64" s="58">
        <v>168980</v>
      </c>
      <c r="H64" s="59">
        <v>2.2</v>
      </c>
      <c r="I64" s="58">
        <f t="shared" si="0"/>
        <v>76809</v>
      </c>
      <c r="K64" s="60"/>
    </row>
    <row r="65" s="37" customFormat="1" ht="12.75" spans="1:11">
      <c r="A65" s="54" t="s">
        <v>72</v>
      </c>
      <c r="B65" s="54" t="s">
        <v>73</v>
      </c>
      <c r="C65" s="65" t="s">
        <v>183</v>
      </c>
      <c r="D65" s="65" t="s">
        <v>10</v>
      </c>
      <c r="E65" s="54" t="s">
        <v>76</v>
      </c>
      <c r="F65" s="37" t="s">
        <v>184</v>
      </c>
      <c r="G65" s="58">
        <v>168700</v>
      </c>
      <c r="H65" s="66">
        <v>2.2</v>
      </c>
      <c r="I65" s="58">
        <f t="shared" si="0"/>
        <v>76681</v>
      </c>
      <c r="K65" s="60"/>
    </row>
    <row r="66" s="37" customFormat="1" ht="12.75" spans="1:11">
      <c r="A66" s="37" t="s">
        <v>72</v>
      </c>
      <c r="B66" s="37" t="s">
        <v>73</v>
      </c>
      <c r="C66" s="64" t="s">
        <v>185</v>
      </c>
      <c r="D66" s="64" t="s">
        <v>186</v>
      </c>
      <c r="E66" s="37" t="s">
        <v>76</v>
      </c>
      <c r="F66" s="37" t="s">
        <v>187</v>
      </c>
      <c r="G66" s="58">
        <v>169150</v>
      </c>
      <c r="H66" s="59">
        <v>2.3</v>
      </c>
      <c r="I66" s="58">
        <f t="shared" ref="I66:I129" si="1">ROUNDDOWN(G66/H66,0)</f>
        <v>73543</v>
      </c>
      <c r="K66" s="60"/>
    </row>
    <row r="67" s="37" customFormat="1" ht="12.75" spans="1:11">
      <c r="A67" s="54" t="s">
        <v>72</v>
      </c>
      <c r="B67" s="54" t="s">
        <v>73</v>
      </c>
      <c r="C67" s="65" t="s">
        <v>188</v>
      </c>
      <c r="D67" s="65" t="s">
        <v>189</v>
      </c>
      <c r="E67" s="54" t="s">
        <v>76</v>
      </c>
      <c r="F67" s="37" t="s">
        <v>190</v>
      </c>
      <c r="G67" s="58">
        <v>165800</v>
      </c>
      <c r="H67" s="66">
        <v>2.3</v>
      </c>
      <c r="I67" s="58">
        <f t="shared" si="1"/>
        <v>72086</v>
      </c>
      <c r="K67" s="60"/>
    </row>
    <row r="68" s="37" customFormat="1" ht="12.75" spans="1:11">
      <c r="A68" s="37" t="s">
        <v>72</v>
      </c>
      <c r="B68" s="37" t="s">
        <v>73</v>
      </c>
      <c r="C68" s="64" t="s">
        <v>191</v>
      </c>
      <c r="D68" s="64" t="s">
        <v>192</v>
      </c>
      <c r="E68" s="37" t="s">
        <v>76</v>
      </c>
      <c r="F68" s="37" t="s">
        <v>193</v>
      </c>
      <c r="G68" s="58">
        <v>162500</v>
      </c>
      <c r="H68" s="59">
        <v>2.2</v>
      </c>
      <c r="I68" s="58">
        <f t="shared" si="1"/>
        <v>73863</v>
      </c>
      <c r="K68" s="60"/>
    </row>
    <row r="69" s="37" customFormat="1" ht="12.75" spans="1:11">
      <c r="A69" s="37" t="s">
        <v>72</v>
      </c>
      <c r="B69" s="37" t="s">
        <v>73</v>
      </c>
      <c r="C69" s="64" t="s">
        <v>194</v>
      </c>
      <c r="D69" s="64" t="s">
        <v>195</v>
      </c>
      <c r="E69" s="37" t="s">
        <v>76</v>
      </c>
      <c r="F69" s="37" t="s">
        <v>196</v>
      </c>
      <c r="G69" s="58">
        <v>162600</v>
      </c>
      <c r="H69" s="59">
        <v>2.2</v>
      </c>
      <c r="I69" s="58">
        <f t="shared" si="1"/>
        <v>73909</v>
      </c>
      <c r="K69" s="60"/>
    </row>
    <row r="70" s="37" customFormat="1" ht="12.75" spans="1:11">
      <c r="A70" s="37" t="s">
        <v>72</v>
      </c>
      <c r="B70" s="37" t="s">
        <v>73</v>
      </c>
      <c r="C70" s="64" t="s">
        <v>197</v>
      </c>
      <c r="D70" s="64" t="s">
        <v>198</v>
      </c>
      <c r="E70" s="37" t="s">
        <v>76</v>
      </c>
      <c r="F70" s="37" t="s">
        <v>199</v>
      </c>
      <c r="G70" s="58">
        <v>160650</v>
      </c>
      <c r="H70" s="59">
        <v>2.2</v>
      </c>
      <c r="I70" s="58">
        <f t="shared" si="1"/>
        <v>73022</v>
      </c>
      <c r="K70" s="60"/>
    </row>
    <row r="71" s="37" customFormat="1" ht="12.75" spans="1:11">
      <c r="A71" s="54" t="s">
        <v>72</v>
      </c>
      <c r="B71" s="54" t="s">
        <v>73</v>
      </c>
      <c r="C71" s="65" t="s">
        <v>200</v>
      </c>
      <c r="D71" s="65" t="s">
        <v>201</v>
      </c>
      <c r="E71" s="54" t="s">
        <v>76</v>
      </c>
      <c r="F71" s="37" t="s">
        <v>202</v>
      </c>
      <c r="G71" s="58">
        <v>161100</v>
      </c>
      <c r="H71" s="66">
        <v>2.2</v>
      </c>
      <c r="I71" s="58">
        <f t="shared" si="1"/>
        <v>73227</v>
      </c>
      <c r="K71" s="60"/>
    </row>
    <row r="72" s="37" customFormat="1" ht="12.75" spans="1:11">
      <c r="A72" s="37" t="s">
        <v>72</v>
      </c>
      <c r="B72" s="37" t="s">
        <v>73</v>
      </c>
      <c r="C72" s="64" t="s">
        <v>203</v>
      </c>
      <c r="D72" s="64" t="s">
        <v>44</v>
      </c>
      <c r="E72" s="37" t="s">
        <v>76</v>
      </c>
      <c r="F72" s="37" t="s">
        <v>204</v>
      </c>
      <c r="G72" s="58">
        <v>171500</v>
      </c>
      <c r="H72" s="59">
        <v>2.2</v>
      </c>
      <c r="I72" s="58">
        <f t="shared" si="1"/>
        <v>77954</v>
      </c>
      <c r="K72" s="60"/>
    </row>
    <row r="73" s="37" customFormat="1" ht="12.75" spans="1:11">
      <c r="A73" s="54" t="s">
        <v>72</v>
      </c>
      <c r="B73" s="54" t="s">
        <v>73</v>
      </c>
      <c r="C73" s="65" t="s">
        <v>205</v>
      </c>
      <c r="D73" s="65" t="s">
        <v>206</v>
      </c>
      <c r="E73" s="54" t="s">
        <v>76</v>
      </c>
      <c r="F73" s="37" t="s">
        <v>207</v>
      </c>
      <c r="G73" s="58">
        <v>177580</v>
      </c>
      <c r="H73" s="66">
        <v>2.2</v>
      </c>
      <c r="I73" s="58">
        <f t="shared" si="1"/>
        <v>80718</v>
      </c>
      <c r="K73" s="60"/>
    </row>
    <row r="74" s="37" customFormat="1" ht="12.75" spans="1:11">
      <c r="A74" s="37" t="s">
        <v>72</v>
      </c>
      <c r="B74" s="37" t="s">
        <v>73</v>
      </c>
      <c r="C74" s="64" t="s">
        <v>208</v>
      </c>
      <c r="D74" s="64" t="s">
        <v>209</v>
      </c>
      <c r="E74" s="37" t="s">
        <v>76</v>
      </c>
      <c r="F74" s="37" t="s">
        <v>210</v>
      </c>
      <c r="G74" s="58">
        <v>167000</v>
      </c>
      <c r="H74" s="59">
        <v>2.2</v>
      </c>
      <c r="I74" s="58">
        <f t="shared" si="1"/>
        <v>75909</v>
      </c>
      <c r="K74" s="60"/>
    </row>
    <row r="75" s="37" customFormat="1" ht="12.75" spans="1:11">
      <c r="A75" s="37" t="s">
        <v>72</v>
      </c>
      <c r="B75" s="37" t="s">
        <v>73</v>
      </c>
      <c r="C75" s="64" t="s">
        <v>211</v>
      </c>
      <c r="D75" s="64" t="s">
        <v>212</v>
      </c>
      <c r="E75" s="37" t="s">
        <v>76</v>
      </c>
      <c r="F75" s="37" t="s">
        <v>213</v>
      </c>
      <c r="G75" s="58">
        <v>172000</v>
      </c>
      <c r="H75" s="59">
        <v>2.2</v>
      </c>
      <c r="I75" s="58">
        <f t="shared" si="1"/>
        <v>78181</v>
      </c>
      <c r="K75" s="60"/>
    </row>
    <row r="76" s="37" customFormat="1" ht="12.75" spans="1:11">
      <c r="A76" s="37" t="s">
        <v>72</v>
      </c>
      <c r="B76" s="37" t="s">
        <v>73</v>
      </c>
      <c r="C76" s="64" t="s">
        <v>214</v>
      </c>
      <c r="D76" s="64" t="s">
        <v>215</v>
      </c>
      <c r="E76" s="37" t="s">
        <v>76</v>
      </c>
      <c r="F76" s="37" t="s">
        <v>216</v>
      </c>
      <c r="G76" s="58">
        <v>177500</v>
      </c>
      <c r="H76" s="59">
        <v>2.2</v>
      </c>
      <c r="I76" s="58">
        <f t="shared" si="1"/>
        <v>80681</v>
      </c>
      <c r="K76" s="60"/>
    </row>
    <row r="77" s="37" customFormat="1" ht="12.75" spans="1:11">
      <c r="A77" s="37" t="s">
        <v>72</v>
      </c>
      <c r="B77" s="37" t="s">
        <v>73</v>
      </c>
      <c r="C77" s="64" t="s">
        <v>217</v>
      </c>
      <c r="D77" s="64" t="s">
        <v>218</v>
      </c>
      <c r="E77" s="37" t="s">
        <v>76</v>
      </c>
      <c r="F77" s="37" t="s">
        <v>219</v>
      </c>
      <c r="G77" s="58">
        <v>177500</v>
      </c>
      <c r="H77" s="59">
        <v>2.44</v>
      </c>
      <c r="I77" s="58">
        <f t="shared" si="1"/>
        <v>72745</v>
      </c>
      <c r="K77" s="60"/>
    </row>
    <row r="78" s="37" customFormat="1" ht="12.75" spans="1:11">
      <c r="A78" s="37" t="s">
        <v>72</v>
      </c>
      <c r="B78" s="37" t="s">
        <v>73</v>
      </c>
      <c r="C78" s="64" t="s">
        <v>220</v>
      </c>
      <c r="D78" s="64" t="s">
        <v>221</v>
      </c>
      <c r="E78" s="37" t="s">
        <v>76</v>
      </c>
      <c r="F78" s="37" t="s">
        <v>222</v>
      </c>
      <c r="G78" s="58">
        <v>177500</v>
      </c>
      <c r="H78" s="59">
        <v>2.2</v>
      </c>
      <c r="I78" s="58">
        <f t="shared" si="1"/>
        <v>80681</v>
      </c>
      <c r="K78" s="60"/>
    </row>
    <row r="79" s="37" customFormat="1" ht="12.75" spans="1:11">
      <c r="A79" s="37" t="s">
        <v>72</v>
      </c>
      <c r="B79" s="37" t="s">
        <v>73</v>
      </c>
      <c r="C79" s="64" t="s">
        <v>223</v>
      </c>
      <c r="D79" s="64" t="s">
        <v>224</v>
      </c>
      <c r="E79" s="37" t="s">
        <v>76</v>
      </c>
      <c r="F79" s="37" t="s">
        <v>225</v>
      </c>
      <c r="G79" s="58">
        <v>177500</v>
      </c>
      <c r="H79" s="59">
        <v>2.2</v>
      </c>
      <c r="I79" s="58">
        <f t="shared" si="1"/>
        <v>80681</v>
      </c>
      <c r="K79" s="60"/>
    </row>
    <row r="80" s="37" customFormat="1" ht="12.75" spans="1:11">
      <c r="A80" s="37" t="s">
        <v>72</v>
      </c>
      <c r="B80" s="37" t="s">
        <v>73</v>
      </c>
      <c r="C80" s="64" t="s">
        <v>226</v>
      </c>
      <c r="D80" s="64" t="s">
        <v>227</v>
      </c>
      <c r="E80" s="37" t="s">
        <v>76</v>
      </c>
      <c r="F80" s="37" t="s">
        <v>228</v>
      </c>
      <c r="G80" s="58">
        <v>177500</v>
      </c>
      <c r="H80" s="59">
        <v>2.2</v>
      </c>
      <c r="I80" s="58">
        <f t="shared" si="1"/>
        <v>80681</v>
      </c>
      <c r="K80" s="60"/>
    </row>
    <row r="81" s="37" customFormat="1" ht="12.75" spans="1:11">
      <c r="A81" s="37" t="s">
        <v>72</v>
      </c>
      <c r="B81" s="37" t="s">
        <v>73</v>
      </c>
      <c r="C81" s="64" t="s">
        <v>229</v>
      </c>
      <c r="D81" s="64" t="s">
        <v>230</v>
      </c>
      <c r="E81" s="37" t="s">
        <v>76</v>
      </c>
      <c r="F81" s="37" t="s">
        <v>231</v>
      </c>
      <c r="G81" s="58">
        <v>177500</v>
      </c>
      <c r="H81" s="59">
        <v>2.2</v>
      </c>
      <c r="I81" s="58">
        <f t="shared" si="1"/>
        <v>80681</v>
      </c>
      <c r="K81" s="60"/>
    </row>
    <row r="82" s="37" customFormat="1" ht="12.75" spans="1:11">
      <c r="A82" s="37" t="s">
        <v>72</v>
      </c>
      <c r="B82" s="37" t="s">
        <v>73</v>
      </c>
      <c r="C82" s="64" t="s">
        <v>232</v>
      </c>
      <c r="D82" s="64" t="s">
        <v>233</v>
      </c>
      <c r="E82" s="37" t="s">
        <v>76</v>
      </c>
      <c r="F82" s="37" t="s">
        <v>234</v>
      </c>
      <c r="G82" s="58">
        <v>177500</v>
      </c>
      <c r="H82" s="59">
        <v>2.2</v>
      </c>
      <c r="I82" s="58">
        <f t="shared" si="1"/>
        <v>80681</v>
      </c>
      <c r="K82" s="60"/>
    </row>
    <row r="83" s="37" customFormat="1" ht="12.75" spans="1:11">
      <c r="A83" s="37" t="s">
        <v>72</v>
      </c>
      <c r="B83" s="37" t="s">
        <v>73</v>
      </c>
      <c r="C83" s="64" t="s">
        <v>235</v>
      </c>
      <c r="D83" s="64" t="s">
        <v>236</v>
      </c>
      <c r="E83" s="37" t="s">
        <v>76</v>
      </c>
      <c r="F83" s="37" t="s">
        <v>237</v>
      </c>
      <c r="G83" s="58">
        <v>177500</v>
      </c>
      <c r="H83" s="59">
        <v>2.2</v>
      </c>
      <c r="I83" s="58">
        <f t="shared" si="1"/>
        <v>80681</v>
      </c>
      <c r="K83" s="60"/>
    </row>
    <row r="84" s="37" customFormat="1" ht="12.75" spans="1:11">
      <c r="A84" s="37" t="s">
        <v>72</v>
      </c>
      <c r="B84" s="37" t="s">
        <v>73</v>
      </c>
      <c r="C84" s="64" t="s">
        <v>238</v>
      </c>
      <c r="D84" s="64" t="s">
        <v>239</v>
      </c>
      <c r="E84" s="37" t="s">
        <v>240</v>
      </c>
      <c r="F84" s="37" t="s">
        <v>241</v>
      </c>
      <c r="G84" s="58">
        <v>169400</v>
      </c>
      <c r="H84" s="59">
        <v>2.21</v>
      </c>
      <c r="I84" s="58">
        <f t="shared" si="1"/>
        <v>76651</v>
      </c>
      <c r="K84" s="60"/>
    </row>
    <row r="85" s="37" customFormat="1" ht="12.75" spans="1:11">
      <c r="A85" s="37" t="s">
        <v>72</v>
      </c>
      <c r="B85" s="37" t="s">
        <v>73</v>
      </c>
      <c r="C85" s="64" t="s">
        <v>242</v>
      </c>
      <c r="D85" s="64" t="s">
        <v>243</v>
      </c>
      <c r="E85" s="37" t="s">
        <v>240</v>
      </c>
      <c r="F85" s="37" t="s">
        <v>244</v>
      </c>
      <c r="G85" s="58">
        <v>164400</v>
      </c>
      <c r="H85" s="59">
        <v>2.35</v>
      </c>
      <c r="I85" s="58">
        <f t="shared" ref="I85:I107" si="2">ROUNDDOWN(G85/H85,0)</f>
        <v>69957</v>
      </c>
      <c r="K85" s="60"/>
    </row>
    <row r="86" s="37" customFormat="1" ht="12.75" spans="1:11">
      <c r="A86" s="37" t="s">
        <v>72</v>
      </c>
      <c r="B86" s="37" t="s">
        <v>73</v>
      </c>
      <c r="C86" s="64" t="s">
        <v>245</v>
      </c>
      <c r="D86" s="64" t="s">
        <v>246</v>
      </c>
      <c r="E86" s="37" t="s">
        <v>240</v>
      </c>
      <c r="F86" s="37" t="s">
        <v>247</v>
      </c>
      <c r="G86" s="58">
        <v>172700</v>
      </c>
      <c r="H86" s="59">
        <v>2.4</v>
      </c>
      <c r="I86" s="58">
        <f t="shared" si="2"/>
        <v>71958</v>
      </c>
      <c r="K86" s="60"/>
    </row>
    <row r="87" s="37" customFormat="1" ht="12.75" spans="1:11">
      <c r="A87" s="37" t="s">
        <v>72</v>
      </c>
      <c r="B87" s="37" t="s">
        <v>73</v>
      </c>
      <c r="C87" s="64" t="s">
        <v>248</v>
      </c>
      <c r="D87" s="64" t="s">
        <v>249</v>
      </c>
      <c r="E87" s="37" t="s">
        <v>240</v>
      </c>
      <c r="F87" s="37" t="s">
        <v>250</v>
      </c>
      <c r="G87" s="58">
        <v>170000</v>
      </c>
      <c r="H87" s="59">
        <v>2.3</v>
      </c>
      <c r="I87" s="58">
        <f t="shared" si="2"/>
        <v>73913</v>
      </c>
      <c r="K87" s="60"/>
    </row>
    <row r="88" s="37" customFormat="1" ht="12.75" spans="1:11">
      <c r="A88" s="37" t="s">
        <v>72</v>
      </c>
      <c r="B88" s="37" t="s">
        <v>73</v>
      </c>
      <c r="C88" s="64" t="s">
        <v>251</v>
      </c>
      <c r="D88" s="64" t="s">
        <v>252</v>
      </c>
      <c r="E88" s="37" t="s">
        <v>240</v>
      </c>
      <c r="F88" s="37" t="s">
        <v>253</v>
      </c>
      <c r="G88" s="58">
        <v>171000</v>
      </c>
      <c r="H88" s="59">
        <v>2.4</v>
      </c>
      <c r="I88" s="58">
        <f t="shared" si="2"/>
        <v>71250</v>
      </c>
      <c r="K88" s="60"/>
    </row>
    <row r="89" s="37" customFormat="1" ht="12.75" spans="1:11">
      <c r="A89" s="37" t="s">
        <v>72</v>
      </c>
      <c r="B89" s="37" t="s">
        <v>73</v>
      </c>
      <c r="C89" s="64" t="s">
        <v>254</v>
      </c>
      <c r="D89" s="64" t="s">
        <v>255</v>
      </c>
      <c r="E89" s="37" t="s">
        <v>240</v>
      </c>
      <c r="F89" s="37" t="s">
        <v>256</v>
      </c>
      <c r="G89" s="58">
        <v>164000</v>
      </c>
      <c r="H89" s="59">
        <v>2.32</v>
      </c>
      <c r="I89" s="58">
        <f t="shared" si="2"/>
        <v>70689</v>
      </c>
      <c r="K89" s="60"/>
    </row>
    <row r="90" s="37" customFormat="1" ht="12.75" spans="1:11">
      <c r="A90" s="37" t="s">
        <v>72</v>
      </c>
      <c r="B90" s="37" t="s">
        <v>73</v>
      </c>
      <c r="C90" s="64" t="s">
        <v>257</v>
      </c>
      <c r="D90" s="64" t="s">
        <v>258</v>
      </c>
      <c r="E90" s="37" t="s">
        <v>240</v>
      </c>
      <c r="F90" s="37" t="s">
        <v>259</v>
      </c>
      <c r="G90" s="58">
        <v>174950</v>
      </c>
      <c r="H90" s="59">
        <v>2.2</v>
      </c>
      <c r="I90" s="58">
        <f t="shared" si="2"/>
        <v>79522</v>
      </c>
      <c r="K90" s="60"/>
    </row>
    <row r="91" s="37" customFormat="1" ht="12.75" spans="1:11">
      <c r="A91" s="37" t="s">
        <v>72</v>
      </c>
      <c r="B91" s="37" t="s">
        <v>73</v>
      </c>
      <c r="C91" s="64" t="s">
        <v>260</v>
      </c>
      <c r="D91" s="64" t="s">
        <v>261</v>
      </c>
      <c r="E91" s="37" t="s">
        <v>240</v>
      </c>
      <c r="F91" s="37" t="s">
        <v>262</v>
      </c>
      <c r="G91" s="58">
        <v>165400</v>
      </c>
      <c r="H91" s="59">
        <v>2.25</v>
      </c>
      <c r="I91" s="58">
        <f t="shared" si="2"/>
        <v>73511</v>
      </c>
      <c r="K91" s="60"/>
    </row>
    <row r="92" s="37" customFormat="1" ht="12.75" spans="1:11">
      <c r="A92" s="37" t="s">
        <v>72</v>
      </c>
      <c r="B92" s="37" t="s">
        <v>73</v>
      </c>
      <c r="C92" s="67" t="s">
        <v>263</v>
      </c>
      <c r="D92" s="67" t="s">
        <v>264</v>
      </c>
      <c r="E92" s="37" t="s">
        <v>265</v>
      </c>
      <c r="F92" s="37" t="s">
        <v>266</v>
      </c>
      <c r="G92" s="58">
        <v>164303.5</v>
      </c>
      <c r="H92" s="59">
        <v>2.4</v>
      </c>
      <c r="I92" s="58">
        <f t="shared" si="2"/>
        <v>68459</v>
      </c>
      <c r="K92" s="60"/>
    </row>
    <row r="93" s="37" customFormat="1" ht="12.75" spans="1:11">
      <c r="A93" s="37" t="s">
        <v>72</v>
      </c>
      <c r="B93" s="37" t="s">
        <v>73</v>
      </c>
      <c r="C93" s="67" t="s">
        <v>267</v>
      </c>
      <c r="D93" s="67" t="s">
        <v>268</v>
      </c>
      <c r="E93" s="37" t="s">
        <v>265</v>
      </c>
      <c r="F93" s="37" t="s">
        <v>269</v>
      </c>
      <c r="G93" s="58">
        <v>170753.5</v>
      </c>
      <c r="H93" s="59">
        <v>2.4</v>
      </c>
      <c r="I93" s="58">
        <f t="shared" si="2"/>
        <v>71147</v>
      </c>
      <c r="K93" s="60"/>
    </row>
    <row r="94" s="37" customFormat="1" ht="12.75" spans="1:11">
      <c r="A94" s="37" t="s">
        <v>72</v>
      </c>
      <c r="B94" s="37" t="s">
        <v>73</v>
      </c>
      <c r="C94" s="67" t="s">
        <v>270</v>
      </c>
      <c r="D94" s="67" t="s">
        <v>271</v>
      </c>
      <c r="E94" s="37" t="s">
        <v>265</v>
      </c>
      <c r="F94" s="37" t="s">
        <v>272</v>
      </c>
      <c r="G94" s="58">
        <v>170053.5</v>
      </c>
      <c r="H94" s="59">
        <v>2.4</v>
      </c>
      <c r="I94" s="58">
        <f t="shared" si="2"/>
        <v>70855</v>
      </c>
      <c r="K94" s="60"/>
    </row>
    <row r="95" s="37" customFormat="1" ht="12.75" spans="1:11">
      <c r="A95" s="37" t="s">
        <v>72</v>
      </c>
      <c r="B95" s="37" t="s">
        <v>73</v>
      </c>
      <c r="C95" s="67" t="s">
        <v>273</v>
      </c>
      <c r="D95" s="67" t="s">
        <v>274</v>
      </c>
      <c r="E95" s="37" t="s">
        <v>265</v>
      </c>
      <c r="F95" s="37" t="s">
        <v>275</v>
      </c>
      <c r="G95" s="58">
        <v>169103.5</v>
      </c>
      <c r="H95" s="59">
        <v>2.4</v>
      </c>
      <c r="I95" s="58">
        <f t="shared" si="2"/>
        <v>70459</v>
      </c>
      <c r="K95" s="60"/>
    </row>
    <row r="96" s="37" customFormat="1" ht="12.75" spans="1:11">
      <c r="A96" s="37" t="s">
        <v>72</v>
      </c>
      <c r="B96" s="37" t="s">
        <v>73</v>
      </c>
      <c r="C96" s="67" t="s">
        <v>276</v>
      </c>
      <c r="D96" s="67" t="s">
        <v>41</v>
      </c>
      <c r="E96" s="37" t="s">
        <v>277</v>
      </c>
      <c r="F96" s="37" t="s">
        <v>278</v>
      </c>
      <c r="G96" s="58">
        <v>165323.5</v>
      </c>
      <c r="H96" s="59">
        <v>2.4</v>
      </c>
      <c r="I96" s="58">
        <f t="shared" si="2"/>
        <v>68884</v>
      </c>
      <c r="K96" s="60"/>
    </row>
    <row r="97" s="37" customFormat="1" ht="12.75" spans="1:11">
      <c r="A97" s="37" t="s">
        <v>72</v>
      </c>
      <c r="B97" s="37" t="s">
        <v>73</v>
      </c>
      <c r="C97" s="67" t="s">
        <v>279</v>
      </c>
      <c r="D97" s="67" t="s">
        <v>172</v>
      </c>
      <c r="E97" s="37" t="s">
        <v>277</v>
      </c>
      <c r="F97" s="37" t="s">
        <v>280</v>
      </c>
      <c r="G97" s="58">
        <v>174573.5</v>
      </c>
      <c r="H97" s="59">
        <v>2.2</v>
      </c>
      <c r="I97" s="58">
        <f t="shared" si="2"/>
        <v>79351</v>
      </c>
      <c r="K97" s="60"/>
    </row>
    <row r="98" s="37" customFormat="1" ht="12.75" spans="1:11">
      <c r="A98" s="37" t="s">
        <v>72</v>
      </c>
      <c r="B98" s="37" t="s">
        <v>73</v>
      </c>
      <c r="C98" s="67" t="s">
        <v>281</v>
      </c>
      <c r="D98" s="67" t="s">
        <v>38</v>
      </c>
      <c r="E98" s="37" t="s">
        <v>277</v>
      </c>
      <c r="F98" s="37" t="s">
        <v>282</v>
      </c>
      <c r="G98" s="58">
        <v>86687</v>
      </c>
      <c r="H98" s="59">
        <v>2.4</v>
      </c>
      <c r="I98" s="58">
        <f t="shared" si="2"/>
        <v>36119</v>
      </c>
      <c r="K98" s="60"/>
    </row>
    <row r="99" s="37" customFormat="1" ht="12.75" spans="1:11">
      <c r="A99" s="37" t="s">
        <v>72</v>
      </c>
      <c r="B99" s="37" t="s">
        <v>73</v>
      </c>
      <c r="C99" s="67" t="s">
        <v>283</v>
      </c>
      <c r="D99" s="67" t="s">
        <v>17</v>
      </c>
      <c r="E99" s="37" t="s">
        <v>277</v>
      </c>
      <c r="F99" s="37" t="s">
        <v>284</v>
      </c>
      <c r="G99" s="58">
        <v>170763.5</v>
      </c>
      <c r="H99" s="59">
        <v>2.4</v>
      </c>
      <c r="I99" s="58">
        <f t="shared" si="2"/>
        <v>71151</v>
      </c>
      <c r="K99" s="60"/>
    </row>
    <row r="100" s="37" customFormat="1" ht="12.75" spans="1:11">
      <c r="A100" s="37" t="s">
        <v>72</v>
      </c>
      <c r="B100" s="37" t="s">
        <v>73</v>
      </c>
      <c r="C100" s="67" t="s">
        <v>285</v>
      </c>
      <c r="D100" s="67" t="s">
        <v>32</v>
      </c>
      <c r="E100" s="37" t="s">
        <v>277</v>
      </c>
      <c r="F100" s="37" t="s">
        <v>286</v>
      </c>
      <c r="G100" s="58">
        <v>86477</v>
      </c>
      <c r="H100" s="59">
        <v>2.4</v>
      </c>
      <c r="I100" s="58">
        <f t="shared" si="2"/>
        <v>36032</v>
      </c>
      <c r="K100" s="60"/>
    </row>
    <row r="101" s="37" customFormat="1" ht="12.75" spans="1:11">
      <c r="A101" s="37" t="s">
        <v>72</v>
      </c>
      <c r="B101" s="37" t="s">
        <v>73</v>
      </c>
      <c r="C101" s="67" t="s">
        <v>287</v>
      </c>
      <c r="D101" s="67" t="s">
        <v>44</v>
      </c>
      <c r="E101" s="37" t="s">
        <v>277</v>
      </c>
      <c r="F101" s="37" t="s">
        <v>288</v>
      </c>
      <c r="G101" s="58">
        <v>174933.5</v>
      </c>
      <c r="H101" s="59">
        <v>2.4</v>
      </c>
      <c r="I101" s="58">
        <f t="shared" si="2"/>
        <v>72888</v>
      </c>
      <c r="K101" s="60"/>
    </row>
    <row r="102" s="37" customFormat="1" ht="12.75" spans="1:11">
      <c r="A102" s="37" t="s">
        <v>72</v>
      </c>
      <c r="B102" s="37" t="s">
        <v>73</v>
      </c>
      <c r="C102" s="67" t="s">
        <v>289</v>
      </c>
      <c r="D102" s="67" t="s">
        <v>206</v>
      </c>
      <c r="E102" s="37" t="s">
        <v>277</v>
      </c>
      <c r="F102" s="37" t="s">
        <v>290</v>
      </c>
      <c r="G102" s="58">
        <v>184683.5</v>
      </c>
      <c r="H102" s="59">
        <v>2.4</v>
      </c>
      <c r="I102" s="58">
        <f t="shared" si="2"/>
        <v>76951</v>
      </c>
      <c r="K102" s="60"/>
    </row>
    <row r="103" s="37" customFormat="1" ht="12.75" spans="1:11">
      <c r="A103" s="37" t="s">
        <v>72</v>
      </c>
      <c r="B103" s="37" t="s">
        <v>73</v>
      </c>
      <c r="C103" s="67" t="s">
        <v>291</v>
      </c>
      <c r="D103" s="67" t="s">
        <v>141</v>
      </c>
      <c r="E103" s="37" t="s">
        <v>277</v>
      </c>
      <c r="F103" s="37" t="s">
        <v>292</v>
      </c>
      <c r="G103" s="58">
        <v>179093.5</v>
      </c>
      <c r="H103" s="59">
        <v>2.4</v>
      </c>
      <c r="I103" s="58">
        <f t="shared" si="2"/>
        <v>74622</v>
      </c>
      <c r="K103" s="60"/>
    </row>
    <row r="104" s="37" customFormat="1" ht="12.75" spans="1:11">
      <c r="A104" s="37" t="s">
        <v>72</v>
      </c>
      <c r="B104" s="37" t="s">
        <v>73</v>
      </c>
      <c r="C104" s="67" t="s">
        <v>293</v>
      </c>
      <c r="D104" s="67" t="s">
        <v>81</v>
      </c>
      <c r="E104" s="37" t="s">
        <v>277</v>
      </c>
      <c r="F104" s="37" t="s">
        <v>294</v>
      </c>
      <c r="G104" s="58">
        <v>169203.5</v>
      </c>
      <c r="H104" s="59">
        <v>2.4</v>
      </c>
      <c r="I104" s="58">
        <f t="shared" si="2"/>
        <v>70501</v>
      </c>
      <c r="K104" s="60"/>
    </row>
    <row r="105" s="37" customFormat="1" ht="12.75" spans="1:11">
      <c r="A105" s="37" t="s">
        <v>72</v>
      </c>
      <c r="B105" s="37" t="s">
        <v>73</v>
      </c>
      <c r="C105" s="67" t="s">
        <v>295</v>
      </c>
      <c r="D105" s="67" t="s">
        <v>26</v>
      </c>
      <c r="E105" s="37" t="s">
        <v>277</v>
      </c>
      <c r="F105" s="37" t="s">
        <v>296</v>
      </c>
      <c r="G105" s="58">
        <v>174203.5</v>
      </c>
      <c r="H105" s="59">
        <v>2.4</v>
      </c>
      <c r="I105" s="58">
        <f t="shared" si="2"/>
        <v>72584</v>
      </c>
      <c r="K105" s="60"/>
    </row>
    <row r="106" s="37" customFormat="1" ht="12.75" spans="1:11">
      <c r="A106" s="37" t="s">
        <v>72</v>
      </c>
      <c r="B106" s="37" t="s">
        <v>73</v>
      </c>
      <c r="C106" s="67" t="s">
        <v>297</v>
      </c>
      <c r="D106" s="67" t="s">
        <v>189</v>
      </c>
      <c r="E106" s="37" t="s">
        <v>277</v>
      </c>
      <c r="F106" s="37" t="s">
        <v>298</v>
      </c>
      <c r="G106" s="58">
        <v>172433.5</v>
      </c>
      <c r="H106" s="59">
        <v>2.4</v>
      </c>
      <c r="I106" s="58">
        <f t="shared" si="2"/>
        <v>71847</v>
      </c>
      <c r="K106" s="60"/>
    </row>
    <row r="107" s="37" customFormat="1" ht="12.75" spans="1:11">
      <c r="A107" s="37" t="s">
        <v>72</v>
      </c>
      <c r="B107" s="37" t="s">
        <v>73</v>
      </c>
      <c r="C107" s="67" t="s">
        <v>299</v>
      </c>
      <c r="D107" s="67" t="s">
        <v>29</v>
      </c>
      <c r="E107" s="37" t="s">
        <v>277</v>
      </c>
      <c r="F107" s="37" t="s">
        <v>300</v>
      </c>
      <c r="G107" s="58">
        <v>175193.5</v>
      </c>
      <c r="H107" s="59">
        <v>2.4</v>
      </c>
      <c r="I107" s="58">
        <f t="shared" si="2"/>
        <v>72997</v>
      </c>
      <c r="K107" s="60"/>
    </row>
    <row r="108" s="37" customFormat="1" ht="12.75" spans="1:11">
      <c r="A108" s="37" t="s">
        <v>72</v>
      </c>
      <c r="B108" s="37" t="s">
        <v>73</v>
      </c>
      <c r="C108" s="67" t="s">
        <v>301</v>
      </c>
      <c r="D108" s="67" t="s">
        <v>302</v>
      </c>
      <c r="E108" s="37" t="s">
        <v>277</v>
      </c>
      <c r="F108" s="37" t="s">
        <v>303</v>
      </c>
      <c r="G108" s="58">
        <v>172203.5</v>
      </c>
      <c r="H108" s="59">
        <v>2.4</v>
      </c>
      <c r="I108" s="58">
        <f t="shared" si="1"/>
        <v>71751</v>
      </c>
      <c r="K108" s="60"/>
    </row>
    <row r="109" s="37" customFormat="1" ht="12.75" spans="1:11">
      <c r="A109" s="37" t="s">
        <v>72</v>
      </c>
      <c r="B109" s="37" t="s">
        <v>73</v>
      </c>
      <c r="C109" s="67" t="s">
        <v>304</v>
      </c>
      <c r="D109" s="67" t="s">
        <v>136</v>
      </c>
      <c r="E109" s="37" t="s">
        <v>277</v>
      </c>
      <c r="F109" s="37" t="s">
        <v>305</v>
      </c>
      <c r="G109" s="58">
        <v>177633.5</v>
      </c>
      <c r="H109" s="59">
        <v>2.4</v>
      </c>
      <c r="I109" s="58">
        <f t="shared" si="1"/>
        <v>74013</v>
      </c>
      <c r="K109" s="60"/>
    </row>
    <row r="110" s="37" customFormat="1" ht="12.75" spans="1:11">
      <c r="A110" s="37" t="s">
        <v>72</v>
      </c>
      <c r="B110" s="37" t="s">
        <v>73</v>
      </c>
      <c r="C110" s="67" t="s">
        <v>306</v>
      </c>
      <c r="D110" s="67" t="s">
        <v>152</v>
      </c>
      <c r="E110" s="37" t="s">
        <v>277</v>
      </c>
      <c r="F110" s="37" t="s">
        <v>307</v>
      </c>
      <c r="G110" s="58">
        <v>165623.5</v>
      </c>
      <c r="H110" s="59">
        <v>2.4</v>
      </c>
      <c r="I110" s="58">
        <f t="shared" si="1"/>
        <v>69009</v>
      </c>
      <c r="K110" s="60"/>
    </row>
    <row r="111" s="37" customFormat="1" ht="12.75" spans="1:11">
      <c r="A111" s="37" t="s">
        <v>72</v>
      </c>
      <c r="B111" s="37" t="s">
        <v>73</v>
      </c>
      <c r="C111" s="67" t="s">
        <v>308</v>
      </c>
      <c r="D111" s="67" t="s">
        <v>93</v>
      </c>
      <c r="E111" s="37" t="s">
        <v>277</v>
      </c>
      <c r="F111" s="37" t="s">
        <v>309</v>
      </c>
      <c r="G111" s="58">
        <v>170863.5</v>
      </c>
      <c r="H111" s="59">
        <v>2.4</v>
      </c>
      <c r="I111" s="58">
        <f t="shared" si="1"/>
        <v>71193</v>
      </c>
      <c r="K111" s="60"/>
    </row>
    <row r="112" s="37" customFormat="1" ht="12.75" spans="1:11">
      <c r="A112" s="37" t="s">
        <v>72</v>
      </c>
      <c r="B112" s="37" t="s">
        <v>73</v>
      </c>
      <c r="C112" s="67" t="s">
        <v>310</v>
      </c>
      <c r="D112" s="67" t="s">
        <v>212</v>
      </c>
      <c r="E112" s="37" t="s">
        <v>277</v>
      </c>
      <c r="F112" s="37" t="s">
        <v>311</v>
      </c>
      <c r="G112" s="58">
        <v>178883.5</v>
      </c>
      <c r="H112" s="59">
        <v>2.4</v>
      </c>
      <c r="I112" s="58">
        <f t="shared" si="1"/>
        <v>74534</v>
      </c>
      <c r="K112" s="60"/>
    </row>
    <row r="113" s="37" customFormat="1" ht="12.75" spans="1:12">
      <c r="A113" s="37" t="s">
        <v>72</v>
      </c>
      <c r="B113" s="37" t="s">
        <v>73</v>
      </c>
      <c r="C113" s="67" t="s">
        <v>312</v>
      </c>
      <c r="D113" s="67" t="s">
        <v>209</v>
      </c>
      <c r="E113" s="37" t="s">
        <v>277</v>
      </c>
      <c r="F113" s="37" t="s">
        <v>313</v>
      </c>
      <c r="G113" s="58">
        <v>181693.5</v>
      </c>
      <c r="H113" s="59">
        <v>2.4</v>
      </c>
      <c r="I113" s="58">
        <f t="shared" si="1"/>
        <v>75705</v>
      </c>
      <c r="K113" s="60"/>
    </row>
    <row r="114" s="37" customFormat="1" ht="12.75" spans="1:12">
      <c r="A114" s="37" t="s">
        <v>72</v>
      </c>
      <c r="B114" s="37" t="s">
        <v>73</v>
      </c>
      <c r="C114" s="67" t="s">
        <v>314</v>
      </c>
      <c r="D114" s="67" t="s">
        <v>315</v>
      </c>
      <c r="E114" s="37" t="s">
        <v>277</v>
      </c>
      <c r="F114" s="37" t="s">
        <v>316</v>
      </c>
      <c r="G114" s="58">
        <v>166503.5</v>
      </c>
      <c r="H114" s="59">
        <v>2.4</v>
      </c>
      <c r="I114" s="58">
        <f t="shared" si="1"/>
        <v>69376</v>
      </c>
      <c r="K114" s="60"/>
    </row>
    <row r="115" s="37" customFormat="1" ht="12.75" spans="1:12">
      <c r="A115" s="37" t="s">
        <v>72</v>
      </c>
      <c r="B115" s="37" t="s">
        <v>73</v>
      </c>
      <c r="C115" s="67" t="s">
        <v>317</v>
      </c>
      <c r="D115" s="67" t="s">
        <v>192</v>
      </c>
      <c r="E115" s="37" t="s">
        <v>277</v>
      </c>
      <c r="F115" s="37" t="s">
        <v>318</v>
      </c>
      <c r="G115" s="58">
        <v>169003.5</v>
      </c>
      <c r="H115" s="59">
        <v>2.4</v>
      </c>
      <c r="I115" s="58">
        <f t="shared" si="1"/>
        <v>70418</v>
      </c>
      <c r="K115" s="60"/>
    </row>
    <row r="116" s="37" customFormat="1" ht="12.75" spans="1:12">
      <c r="A116" s="37" t="s">
        <v>72</v>
      </c>
      <c r="B116" s="37" t="s">
        <v>73</v>
      </c>
      <c r="C116" s="67" t="s">
        <v>319</v>
      </c>
      <c r="D116" s="67" t="s">
        <v>104</v>
      </c>
      <c r="E116" s="37" t="s">
        <v>277</v>
      </c>
      <c r="F116" s="37" t="s">
        <v>320</v>
      </c>
      <c r="G116" s="58">
        <v>177933.5</v>
      </c>
      <c r="H116" s="59">
        <v>2.4</v>
      </c>
      <c r="I116" s="58">
        <f t="shared" si="1"/>
        <v>74138</v>
      </c>
      <c r="K116" s="60"/>
    </row>
    <row r="117" s="37" customFormat="1" ht="12.75" spans="1:12">
      <c r="A117" s="37" t="s">
        <v>72</v>
      </c>
      <c r="B117" s="37" t="s">
        <v>73</v>
      </c>
      <c r="C117" s="67" t="s">
        <v>321</v>
      </c>
      <c r="D117" s="67" t="s">
        <v>122</v>
      </c>
      <c r="E117" s="37" t="s">
        <v>277</v>
      </c>
      <c r="F117" s="37" t="s">
        <v>322</v>
      </c>
      <c r="G117" s="58">
        <v>168673.5</v>
      </c>
      <c r="H117" s="59">
        <v>2.4</v>
      </c>
      <c r="I117" s="58">
        <f t="shared" si="1"/>
        <v>70280</v>
      </c>
      <c r="K117" s="60"/>
    </row>
    <row r="118" s="37" customFormat="1" ht="12.75" spans="1:12">
      <c r="A118" s="37" t="s">
        <v>72</v>
      </c>
      <c r="B118" s="37" t="s">
        <v>73</v>
      </c>
      <c r="C118" s="67" t="s">
        <v>323</v>
      </c>
      <c r="D118" s="67" t="s">
        <v>146</v>
      </c>
      <c r="E118" s="37" t="s">
        <v>277</v>
      </c>
      <c r="F118" s="37" t="s">
        <v>324</v>
      </c>
      <c r="G118" s="58">
        <v>169373.5</v>
      </c>
      <c r="H118" s="59">
        <v>2.4</v>
      </c>
      <c r="I118" s="58">
        <f t="shared" si="1"/>
        <v>70572</v>
      </c>
      <c r="K118" s="60"/>
    </row>
    <row r="119" s="37" customFormat="1" ht="12.75" spans="1:12">
      <c r="A119" s="37" t="s">
        <v>72</v>
      </c>
      <c r="B119" s="37" t="s">
        <v>73</v>
      </c>
      <c r="C119" s="67" t="s">
        <v>325</v>
      </c>
      <c r="D119" s="67" t="s">
        <v>101</v>
      </c>
      <c r="E119" s="37" t="s">
        <v>277</v>
      </c>
      <c r="F119" s="37" t="s">
        <v>326</v>
      </c>
      <c r="G119" s="58">
        <v>172123.5</v>
      </c>
      <c r="H119" s="59">
        <v>2.4</v>
      </c>
      <c r="I119" s="58">
        <f t="shared" si="1"/>
        <v>71718</v>
      </c>
      <c r="K119" s="60"/>
    </row>
    <row r="120" s="37" customFormat="1" ht="12.75" spans="1:12">
      <c r="A120" s="37" t="s">
        <v>72</v>
      </c>
      <c r="B120" s="37" t="s">
        <v>73</v>
      </c>
      <c r="C120" s="67" t="s">
        <v>327</v>
      </c>
      <c r="D120" s="67" t="s">
        <v>81</v>
      </c>
      <c r="E120" s="37" t="s">
        <v>328</v>
      </c>
      <c r="F120" s="37" t="s">
        <v>329</v>
      </c>
      <c r="G120" s="58">
        <v>168403.5</v>
      </c>
      <c r="H120" s="59">
        <v>2.4</v>
      </c>
      <c r="I120" s="58">
        <f t="shared" si="1"/>
        <v>70168</v>
      </c>
      <c r="K120" s="60"/>
    </row>
    <row r="121" s="37" customFormat="1" ht="12.75" spans="1:12">
      <c r="A121" s="37" t="s">
        <v>72</v>
      </c>
      <c r="B121" s="37" t="s">
        <v>73</v>
      </c>
      <c r="C121" s="67" t="s">
        <v>330</v>
      </c>
      <c r="D121" s="67" t="s">
        <v>17</v>
      </c>
      <c r="E121" s="37" t="s">
        <v>328</v>
      </c>
      <c r="F121" s="37" t="s">
        <v>331</v>
      </c>
      <c r="G121" s="58">
        <v>169943.5</v>
      </c>
      <c r="H121" s="59">
        <v>2.2</v>
      </c>
      <c r="I121" s="58">
        <f t="shared" si="1"/>
        <v>77247</v>
      </c>
      <c r="K121" s="60"/>
    </row>
    <row r="122" s="37" customFormat="1" ht="12.75" spans="1:12">
      <c r="A122" s="37" t="s">
        <v>72</v>
      </c>
      <c r="B122" s="37" t="s">
        <v>73</v>
      </c>
      <c r="C122" s="67" t="s">
        <v>332</v>
      </c>
      <c r="D122" s="67" t="s">
        <v>23</v>
      </c>
      <c r="E122" s="37" t="s">
        <v>328</v>
      </c>
      <c r="F122" s="37" t="s">
        <v>333</v>
      </c>
      <c r="G122" s="58">
        <v>164763.5</v>
      </c>
      <c r="H122" s="59">
        <v>2.2</v>
      </c>
      <c r="I122" s="58">
        <f t="shared" si="1"/>
        <v>74892</v>
      </c>
      <c r="K122" s="60"/>
    </row>
    <row r="123" s="37" customFormat="1" ht="12.75" spans="1:12">
      <c r="A123" s="37" t="s">
        <v>72</v>
      </c>
      <c r="B123" s="37" t="s">
        <v>73</v>
      </c>
      <c r="C123" s="67" t="s">
        <v>334</v>
      </c>
      <c r="D123" s="67" t="s">
        <v>98</v>
      </c>
      <c r="E123" s="37" t="s">
        <v>328</v>
      </c>
      <c r="F123" s="37" t="s">
        <v>335</v>
      </c>
      <c r="G123" s="58">
        <v>166943.5</v>
      </c>
      <c r="H123" s="59">
        <v>2.2</v>
      </c>
      <c r="I123" s="58">
        <f t="shared" si="1"/>
        <v>75883</v>
      </c>
      <c r="K123" s="60"/>
    </row>
    <row r="124" s="37" customFormat="1" ht="12.75" spans="1:12">
      <c r="A124" s="37" t="s">
        <v>72</v>
      </c>
      <c r="B124" s="37" t="s">
        <v>73</v>
      </c>
      <c r="C124" s="67" t="s">
        <v>336</v>
      </c>
      <c r="D124" s="67" t="s">
        <v>26</v>
      </c>
      <c r="E124" s="37" t="s">
        <v>328</v>
      </c>
      <c r="F124" s="37" t="s">
        <v>337</v>
      </c>
      <c r="G124" s="58">
        <v>173363.5</v>
      </c>
      <c r="H124" s="59">
        <v>2.22</v>
      </c>
      <c r="I124" s="58">
        <f t="shared" si="1"/>
        <v>78091</v>
      </c>
      <c r="J124" s="67"/>
      <c r="K124" s="68"/>
      <c r="L124" s="67"/>
    </row>
    <row r="125" s="37" customFormat="1" ht="12.75" spans="1:12">
      <c r="A125" s="37" t="s">
        <v>72</v>
      </c>
      <c r="B125" s="37" t="s">
        <v>73</v>
      </c>
      <c r="C125" s="67" t="s">
        <v>338</v>
      </c>
      <c r="D125" s="67" t="s">
        <v>224</v>
      </c>
      <c r="E125" s="37" t="s">
        <v>328</v>
      </c>
      <c r="F125" s="37" t="s">
        <v>339</v>
      </c>
      <c r="G125" s="58">
        <v>183703.5</v>
      </c>
      <c r="H125" s="59">
        <v>2.4</v>
      </c>
      <c r="I125" s="58">
        <f t="shared" si="1"/>
        <v>76543</v>
      </c>
      <c r="J125" s="67"/>
      <c r="K125" s="68"/>
      <c r="L125" s="67"/>
    </row>
    <row r="126" s="37" customFormat="1" ht="12.75" spans="1:12">
      <c r="A126" s="37" t="s">
        <v>72</v>
      </c>
      <c r="B126" s="37" t="s">
        <v>73</v>
      </c>
      <c r="C126" s="67" t="s">
        <v>340</v>
      </c>
      <c r="D126" s="67" t="s">
        <v>122</v>
      </c>
      <c r="E126" s="37" t="s">
        <v>328</v>
      </c>
      <c r="F126" s="37" t="s">
        <v>341</v>
      </c>
      <c r="G126" s="58">
        <v>167873.5</v>
      </c>
      <c r="H126" s="59">
        <v>2.4</v>
      </c>
      <c r="I126" s="58">
        <f t="shared" si="1"/>
        <v>69947</v>
      </c>
      <c r="J126" s="67"/>
      <c r="K126" s="68"/>
      <c r="L126" s="67"/>
    </row>
    <row r="127" s="37" customFormat="1" ht="12.75" spans="1:12">
      <c r="A127" s="37" t="s">
        <v>72</v>
      </c>
      <c r="B127" s="37" t="s">
        <v>73</v>
      </c>
      <c r="C127" s="67" t="s">
        <v>342</v>
      </c>
      <c r="D127" s="67" t="s">
        <v>29</v>
      </c>
      <c r="E127" s="37" t="s">
        <v>328</v>
      </c>
      <c r="F127" s="37" t="s">
        <v>343</v>
      </c>
      <c r="G127" s="58">
        <v>174353.5</v>
      </c>
      <c r="H127" s="59">
        <v>2.4</v>
      </c>
      <c r="I127" s="58">
        <f t="shared" si="1"/>
        <v>72647</v>
      </c>
      <c r="J127" s="67"/>
      <c r="K127" s="68"/>
      <c r="L127" s="67"/>
    </row>
    <row r="128" s="37" customFormat="1" ht="12.75" spans="1:12">
      <c r="A128" s="37" t="s">
        <v>72</v>
      </c>
      <c r="B128" s="37" t="s">
        <v>73</v>
      </c>
      <c r="C128" s="67" t="s">
        <v>344</v>
      </c>
      <c r="D128" s="67" t="s">
        <v>32</v>
      </c>
      <c r="E128" s="37" t="s">
        <v>328</v>
      </c>
      <c r="F128" s="37" t="s">
        <v>345</v>
      </c>
      <c r="G128" s="58">
        <v>171283.5</v>
      </c>
      <c r="H128" s="59">
        <v>2.3</v>
      </c>
      <c r="I128" s="58">
        <f t="shared" si="1"/>
        <v>74471</v>
      </c>
      <c r="J128" s="67"/>
      <c r="K128" s="68"/>
      <c r="L128" s="67"/>
    </row>
    <row r="129" s="54" customFormat="1" ht="12.75" spans="1:12">
      <c r="A129" s="37" t="s">
        <v>72</v>
      </c>
      <c r="B129" s="37" t="s">
        <v>73</v>
      </c>
      <c r="C129" s="67" t="s">
        <v>346</v>
      </c>
      <c r="D129" s="67" t="s">
        <v>127</v>
      </c>
      <c r="E129" s="37" t="s">
        <v>328</v>
      </c>
      <c r="F129" s="37" t="s">
        <v>347</v>
      </c>
      <c r="G129" s="58">
        <v>171403.5</v>
      </c>
      <c r="H129" s="59">
        <v>2.3</v>
      </c>
      <c r="I129" s="58">
        <f t="shared" si="1"/>
        <v>74523</v>
      </c>
      <c r="J129" s="69"/>
      <c r="K129" s="70"/>
      <c r="L129" s="69"/>
    </row>
    <row r="130" s="54" customFormat="1" ht="12.75" spans="1:12">
      <c r="A130" s="37" t="s">
        <v>72</v>
      </c>
      <c r="B130" s="37" t="s">
        <v>73</v>
      </c>
      <c r="C130" s="67" t="s">
        <v>348</v>
      </c>
      <c r="D130" s="67" t="s">
        <v>38</v>
      </c>
      <c r="E130" s="37" t="s">
        <v>328</v>
      </c>
      <c r="F130" s="37" t="s">
        <v>349</v>
      </c>
      <c r="G130" s="58">
        <v>171843</v>
      </c>
      <c r="H130" s="59">
        <v>2.2</v>
      </c>
      <c r="I130" s="58">
        <f t="shared" ref="I130:I193" si="3">ROUNDDOWN(G130/H130,0)</f>
        <v>78110</v>
      </c>
      <c r="J130" s="69"/>
      <c r="K130" s="70"/>
      <c r="L130" s="69"/>
    </row>
    <row r="131" s="54" customFormat="1" ht="12.75" spans="1:12">
      <c r="A131" s="37" t="s">
        <v>72</v>
      </c>
      <c r="B131" s="37" t="s">
        <v>73</v>
      </c>
      <c r="C131" s="67" t="s">
        <v>350</v>
      </c>
      <c r="D131" s="67" t="s">
        <v>230</v>
      </c>
      <c r="E131" s="37" t="s">
        <v>328</v>
      </c>
      <c r="F131" s="37" t="s">
        <v>351</v>
      </c>
      <c r="G131" s="58">
        <v>174703.5</v>
      </c>
      <c r="H131" s="59">
        <v>2.15</v>
      </c>
      <c r="I131" s="58">
        <f t="shared" si="3"/>
        <v>81257</v>
      </c>
      <c r="J131" s="69"/>
      <c r="K131" s="70"/>
      <c r="L131" s="69"/>
    </row>
    <row r="132" s="54" customFormat="1" ht="12.75" spans="1:12">
      <c r="A132" s="37" t="s">
        <v>72</v>
      </c>
      <c r="B132" s="37" t="s">
        <v>73</v>
      </c>
      <c r="C132" s="67" t="s">
        <v>352</v>
      </c>
      <c r="D132" s="67" t="s">
        <v>152</v>
      </c>
      <c r="E132" s="37" t="s">
        <v>328</v>
      </c>
      <c r="F132" s="37" t="s">
        <v>353</v>
      </c>
      <c r="G132" s="58">
        <v>164813.5</v>
      </c>
      <c r="H132" s="59">
        <v>2.2</v>
      </c>
      <c r="I132" s="58">
        <f t="shared" si="3"/>
        <v>74915</v>
      </c>
      <c r="J132" s="69"/>
      <c r="K132" s="70"/>
      <c r="L132" s="69"/>
    </row>
    <row r="133" s="37" customFormat="1" ht="12.75" spans="1:12">
      <c r="A133" s="37" t="s">
        <v>72</v>
      </c>
      <c r="B133" s="37" t="s">
        <v>73</v>
      </c>
      <c r="C133" s="67" t="s">
        <v>354</v>
      </c>
      <c r="D133" s="67" t="s">
        <v>41</v>
      </c>
      <c r="E133" s="37" t="s">
        <v>328</v>
      </c>
      <c r="F133" s="37" t="s">
        <v>355</v>
      </c>
      <c r="G133" s="58">
        <v>164523.5</v>
      </c>
      <c r="H133" s="59">
        <v>2.2</v>
      </c>
      <c r="I133" s="58">
        <f t="shared" si="3"/>
        <v>74783</v>
      </c>
      <c r="J133" s="67"/>
      <c r="K133" s="68"/>
      <c r="L133" s="67"/>
    </row>
    <row r="134" s="37" customFormat="1" ht="12.75" spans="1:12">
      <c r="A134" s="37" t="s">
        <v>72</v>
      </c>
      <c r="B134" s="37" t="s">
        <v>73</v>
      </c>
      <c r="C134" s="67" t="s">
        <v>356</v>
      </c>
      <c r="D134" s="67" t="s">
        <v>172</v>
      </c>
      <c r="E134" s="37" t="s">
        <v>328</v>
      </c>
      <c r="F134" s="37" t="s">
        <v>357</v>
      </c>
      <c r="G134" s="58">
        <v>174583.5</v>
      </c>
      <c r="H134" s="59">
        <v>2.3</v>
      </c>
      <c r="I134" s="58">
        <f t="shared" si="3"/>
        <v>75905</v>
      </c>
      <c r="J134" s="67"/>
      <c r="K134" s="68"/>
      <c r="L134" s="67"/>
    </row>
    <row r="135" s="37" customFormat="1" ht="12.75" spans="1:12">
      <c r="A135" s="37" t="s">
        <v>72</v>
      </c>
      <c r="B135" s="37" t="s">
        <v>73</v>
      </c>
      <c r="C135" s="67" t="s">
        <v>358</v>
      </c>
      <c r="D135" s="67" t="s">
        <v>84</v>
      </c>
      <c r="E135" s="37" t="s">
        <v>328</v>
      </c>
      <c r="F135" s="37" t="s">
        <v>359</v>
      </c>
      <c r="G135" s="58">
        <v>169943.5</v>
      </c>
      <c r="H135" s="59">
        <v>2.4</v>
      </c>
      <c r="I135" s="58">
        <f t="shared" si="3"/>
        <v>70809</v>
      </c>
      <c r="J135" s="67"/>
      <c r="K135" s="68"/>
      <c r="L135" s="67"/>
    </row>
    <row r="136" s="37" customFormat="1" ht="12.75" spans="1:12">
      <c r="A136" s="37" t="s">
        <v>72</v>
      </c>
      <c r="B136" s="37" t="s">
        <v>73</v>
      </c>
      <c r="C136" s="67" t="s">
        <v>360</v>
      </c>
      <c r="D136" s="67" t="s">
        <v>104</v>
      </c>
      <c r="E136" s="37" t="s">
        <v>328</v>
      </c>
      <c r="F136" s="37" t="s">
        <v>361</v>
      </c>
      <c r="G136" s="58">
        <v>177073.5</v>
      </c>
      <c r="H136" s="59">
        <v>2.2</v>
      </c>
      <c r="I136" s="58">
        <f t="shared" si="3"/>
        <v>80487</v>
      </c>
      <c r="J136" s="67"/>
      <c r="K136" s="68"/>
      <c r="L136" s="67"/>
    </row>
    <row r="137" s="54" customFormat="1" ht="12.75" spans="1:12">
      <c r="A137" s="37" t="s">
        <v>72</v>
      </c>
      <c r="B137" s="37" t="s">
        <v>73</v>
      </c>
      <c r="C137" s="67" t="s">
        <v>362</v>
      </c>
      <c r="D137" s="67" t="s">
        <v>14</v>
      </c>
      <c r="E137" s="37" t="s">
        <v>328</v>
      </c>
      <c r="F137" s="37" t="s">
        <v>363</v>
      </c>
      <c r="G137" s="58">
        <v>182023.5</v>
      </c>
      <c r="H137" s="59">
        <v>2.25</v>
      </c>
      <c r="I137" s="58">
        <f t="shared" si="3"/>
        <v>80899</v>
      </c>
      <c r="J137" s="69"/>
      <c r="K137" s="70"/>
      <c r="L137" s="69"/>
    </row>
    <row r="138" s="54" customFormat="1" ht="12.75" spans="1:12">
      <c r="A138" s="37" t="s">
        <v>72</v>
      </c>
      <c r="B138" s="37" t="s">
        <v>73</v>
      </c>
      <c r="C138" s="67" t="s">
        <v>364</v>
      </c>
      <c r="D138" s="67" t="s">
        <v>109</v>
      </c>
      <c r="E138" s="37" t="s">
        <v>328</v>
      </c>
      <c r="F138" s="37" t="s">
        <v>365</v>
      </c>
      <c r="G138" s="58">
        <v>166883.5</v>
      </c>
      <c r="H138" s="59">
        <v>2.4</v>
      </c>
      <c r="I138" s="58">
        <f t="shared" si="3"/>
        <v>69534</v>
      </c>
      <c r="J138" s="69"/>
      <c r="K138" s="70"/>
      <c r="L138" s="69"/>
    </row>
    <row r="139" s="54" customFormat="1" ht="12.75" spans="1:12">
      <c r="A139" s="37" t="s">
        <v>72</v>
      </c>
      <c r="B139" s="37" t="s">
        <v>73</v>
      </c>
      <c r="C139" s="67" t="s">
        <v>366</v>
      </c>
      <c r="D139" s="67" t="s">
        <v>198</v>
      </c>
      <c r="E139" s="37" t="s">
        <v>328</v>
      </c>
      <c r="F139" s="37" t="s">
        <v>367</v>
      </c>
      <c r="G139" s="58">
        <v>166273.5</v>
      </c>
      <c r="H139" s="59">
        <v>2.4</v>
      </c>
      <c r="I139" s="58">
        <f t="shared" si="3"/>
        <v>69280</v>
      </c>
      <c r="J139" s="69"/>
      <c r="K139" s="70"/>
      <c r="L139" s="69"/>
    </row>
    <row r="140" s="37" customFormat="1" ht="12.75" spans="1:12">
      <c r="A140" s="37" t="s">
        <v>72</v>
      </c>
      <c r="B140" s="37" t="s">
        <v>73</v>
      </c>
      <c r="C140" s="67" t="s">
        <v>368</v>
      </c>
      <c r="D140" s="67" t="s">
        <v>10</v>
      </c>
      <c r="E140" s="37" t="s">
        <v>328</v>
      </c>
      <c r="F140" s="37" t="s">
        <v>369</v>
      </c>
      <c r="G140" s="58">
        <v>174403.5</v>
      </c>
      <c r="H140" s="59">
        <v>2.45</v>
      </c>
      <c r="I140" s="58">
        <f t="shared" si="3"/>
        <v>71185</v>
      </c>
      <c r="J140" s="67"/>
      <c r="K140" s="68"/>
      <c r="L140" s="67"/>
    </row>
    <row r="141" s="37" customFormat="1" ht="12.75" spans="1:12">
      <c r="A141" s="37" t="s">
        <v>72</v>
      </c>
      <c r="B141" s="37" t="s">
        <v>73</v>
      </c>
      <c r="C141" s="67" t="s">
        <v>370</v>
      </c>
      <c r="D141" s="67" t="s">
        <v>44</v>
      </c>
      <c r="E141" s="37" t="s">
        <v>328</v>
      </c>
      <c r="F141" s="37" t="s">
        <v>371</v>
      </c>
      <c r="G141" s="58">
        <v>178363.5</v>
      </c>
      <c r="H141" s="59">
        <v>2.4</v>
      </c>
      <c r="I141" s="58">
        <f t="shared" si="3"/>
        <v>74318</v>
      </c>
      <c r="J141" s="67"/>
      <c r="K141" s="68"/>
      <c r="L141" s="67"/>
    </row>
    <row r="142" s="37" customFormat="1" ht="12.75" spans="1:12">
      <c r="A142" s="37" t="s">
        <v>72</v>
      </c>
      <c r="B142" s="37" t="s">
        <v>73</v>
      </c>
      <c r="C142" s="67" t="s">
        <v>372</v>
      </c>
      <c r="D142" s="67" t="s">
        <v>206</v>
      </c>
      <c r="E142" s="37" t="s">
        <v>328</v>
      </c>
      <c r="F142" s="37" t="s">
        <v>373</v>
      </c>
      <c r="G142" s="58">
        <v>183783.5</v>
      </c>
      <c r="H142" s="59">
        <v>2.35</v>
      </c>
      <c r="I142" s="58">
        <f t="shared" si="3"/>
        <v>78205</v>
      </c>
      <c r="J142" s="67"/>
      <c r="K142" s="68"/>
      <c r="L142" s="67"/>
    </row>
    <row r="143" s="37" customFormat="1" ht="12.75" spans="1:12">
      <c r="A143" s="37" t="s">
        <v>72</v>
      </c>
      <c r="B143" s="37" t="s">
        <v>73</v>
      </c>
      <c r="C143" s="67" t="s">
        <v>374</v>
      </c>
      <c r="D143" s="67" t="s">
        <v>212</v>
      </c>
      <c r="E143" s="37" t="s">
        <v>328</v>
      </c>
      <c r="F143" s="37" t="s">
        <v>375</v>
      </c>
      <c r="G143" s="58">
        <v>178023.5</v>
      </c>
      <c r="H143" s="59">
        <v>2.2</v>
      </c>
      <c r="I143" s="58">
        <f t="shared" si="3"/>
        <v>80919</v>
      </c>
      <c r="J143" s="67"/>
      <c r="K143" s="68"/>
      <c r="L143" s="67"/>
    </row>
    <row r="144" s="37" customFormat="1" ht="12.75" spans="1:12">
      <c r="A144" s="37" t="s">
        <v>72</v>
      </c>
      <c r="B144" s="37" t="s">
        <v>376</v>
      </c>
      <c r="C144" s="37" t="s">
        <v>377</v>
      </c>
      <c r="D144" s="37" t="s">
        <v>378</v>
      </c>
      <c r="E144" s="37" t="s">
        <v>76</v>
      </c>
      <c r="F144" s="37" t="s">
        <v>379</v>
      </c>
      <c r="G144" s="58">
        <v>3</v>
      </c>
      <c r="H144" s="59">
        <v>3</v>
      </c>
      <c r="I144" s="58">
        <f t="shared" si="3"/>
        <v>1</v>
      </c>
      <c r="J144" s="67"/>
      <c r="K144" s="68"/>
      <c r="L144" s="67"/>
    </row>
    <row r="145" s="54" customFormat="1" ht="12.75" spans="1:13">
      <c r="A145" s="37" t="s">
        <v>72</v>
      </c>
      <c r="B145" s="37" t="s">
        <v>376</v>
      </c>
      <c r="C145" s="37" t="s">
        <v>377</v>
      </c>
      <c r="D145" s="37" t="s">
        <v>378</v>
      </c>
      <c r="E145" s="37" t="s">
        <v>76</v>
      </c>
      <c r="F145" s="37" t="s">
        <v>379</v>
      </c>
      <c r="G145" s="58">
        <v>3</v>
      </c>
      <c r="H145" s="59">
        <v>3</v>
      </c>
      <c r="I145" s="58">
        <f t="shared" si="3"/>
        <v>1</v>
      </c>
      <c r="J145" s="69"/>
      <c r="K145" s="70"/>
      <c r="L145" s="69"/>
    </row>
    <row r="146" s="54" customFormat="1" ht="12.75" spans="1:13">
      <c r="A146" s="37" t="s">
        <v>72</v>
      </c>
      <c r="B146" s="37" t="s">
        <v>376</v>
      </c>
      <c r="C146" s="37" t="s">
        <v>377</v>
      </c>
      <c r="D146" s="37" t="s">
        <v>378</v>
      </c>
      <c r="E146" s="37" t="s">
        <v>76</v>
      </c>
      <c r="F146" s="37" t="s">
        <v>379</v>
      </c>
      <c r="G146" s="58">
        <v>3</v>
      </c>
      <c r="H146" s="59">
        <v>3</v>
      </c>
      <c r="I146" s="58">
        <f t="shared" si="3"/>
        <v>1</v>
      </c>
      <c r="J146" s="69"/>
      <c r="K146" s="70"/>
      <c r="L146" s="69"/>
    </row>
    <row r="147" s="37" customFormat="1" ht="12.75" spans="1:13">
      <c r="A147" s="37" t="s">
        <v>72</v>
      </c>
      <c r="B147" s="37" t="s">
        <v>376</v>
      </c>
      <c r="C147" s="37" t="s">
        <v>377</v>
      </c>
      <c r="D147" s="37" t="s">
        <v>378</v>
      </c>
      <c r="E147" s="37" t="s">
        <v>76</v>
      </c>
      <c r="F147" s="37" t="s">
        <v>379</v>
      </c>
      <c r="G147" s="58">
        <v>3</v>
      </c>
      <c r="H147" s="59">
        <v>3</v>
      </c>
      <c r="I147" s="58">
        <f t="shared" si="3"/>
        <v>1</v>
      </c>
      <c r="J147" s="67"/>
      <c r="K147" s="68"/>
      <c r="L147" s="67"/>
    </row>
    <row r="148" s="37" customFormat="1" ht="12.75" spans="1:13">
      <c r="A148" s="37" t="s">
        <v>72</v>
      </c>
      <c r="B148" s="37" t="s">
        <v>376</v>
      </c>
      <c r="C148" s="37" t="s">
        <v>380</v>
      </c>
      <c r="D148" s="37" t="s">
        <v>381</v>
      </c>
      <c r="E148" s="37" t="s">
        <v>76</v>
      </c>
      <c r="F148" s="37" t="s">
        <v>382</v>
      </c>
      <c r="G148" s="58">
        <v>3</v>
      </c>
      <c r="H148" s="59">
        <v>3</v>
      </c>
      <c r="I148" s="58">
        <f t="shared" si="3"/>
        <v>1</v>
      </c>
      <c r="J148" s="67"/>
      <c r="K148" s="68"/>
      <c r="L148" s="67"/>
    </row>
    <row r="149" s="37" customFormat="1" ht="12.75" spans="1:13">
      <c r="A149" s="37" t="s">
        <v>72</v>
      </c>
      <c r="B149" s="37" t="s">
        <v>376</v>
      </c>
      <c r="C149" s="37" t="s">
        <v>380</v>
      </c>
      <c r="D149" s="37" t="s">
        <v>381</v>
      </c>
      <c r="E149" s="37" t="s">
        <v>76</v>
      </c>
      <c r="F149" s="37" t="s">
        <v>382</v>
      </c>
      <c r="G149" s="58">
        <v>3</v>
      </c>
      <c r="H149" s="59">
        <v>3</v>
      </c>
      <c r="I149" s="58">
        <f t="shared" si="3"/>
        <v>1</v>
      </c>
      <c r="J149" s="67"/>
      <c r="K149" s="68"/>
      <c r="L149" s="67"/>
    </row>
    <row r="150" s="37" customFormat="1" ht="12.75" spans="1:13">
      <c r="A150" s="37" t="s">
        <v>72</v>
      </c>
      <c r="B150" s="37" t="s">
        <v>376</v>
      </c>
      <c r="C150" s="37" t="s">
        <v>380</v>
      </c>
      <c r="D150" s="37" t="s">
        <v>381</v>
      </c>
      <c r="E150" s="37" t="s">
        <v>76</v>
      </c>
      <c r="F150" s="37" t="s">
        <v>382</v>
      </c>
      <c r="G150" s="58">
        <v>3</v>
      </c>
      <c r="H150" s="59">
        <v>3</v>
      </c>
      <c r="I150" s="58">
        <f t="shared" si="3"/>
        <v>1</v>
      </c>
      <c r="J150" s="67"/>
      <c r="K150" s="68"/>
      <c r="L150" s="67"/>
    </row>
    <row r="151" s="37" customFormat="1" ht="12.75" spans="1:13">
      <c r="A151" s="37" t="s">
        <v>72</v>
      </c>
      <c r="B151" s="37" t="s">
        <v>376</v>
      </c>
      <c r="C151" s="37" t="s">
        <v>380</v>
      </c>
      <c r="D151" s="37" t="s">
        <v>381</v>
      </c>
      <c r="E151" s="37" t="s">
        <v>76</v>
      </c>
      <c r="F151" s="37" t="s">
        <v>382</v>
      </c>
      <c r="G151" s="58">
        <v>3</v>
      </c>
      <c r="H151" s="59">
        <v>3</v>
      </c>
      <c r="I151" s="58">
        <f t="shared" si="3"/>
        <v>1</v>
      </c>
      <c r="J151" s="67"/>
      <c r="K151" s="68"/>
      <c r="L151" s="67"/>
    </row>
    <row r="152" s="54" customFormat="1" ht="12.75" spans="1:13">
      <c r="A152" s="37" t="s">
        <v>72</v>
      </c>
      <c r="B152" s="37" t="s">
        <v>376</v>
      </c>
      <c r="C152" s="37" t="s">
        <v>383</v>
      </c>
      <c r="D152" s="37" t="s">
        <v>384</v>
      </c>
      <c r="E152" s="37" t="s">
        <v>76</v>
      </c>
      <c r="F152" s="37" t="s">
        <v>385</v>
      </c>
      <c r="G152" s="58">
        <v>3</v>
      </c>
      <c r="H152" s="59">
        <v>3</v>
      </c>
      <c r="I152" s="58">
        <f t="shared" si="3"/>
        <v>1</v>
      </c>
      <c r="J152" s="69"/>
      <c r="K152" s="70"/>
      <c r="L152" s="69"/>
    </row>
    <row r="153" s="54" customFormat="1" ht="12.75" spans="1:13">
      <c r="A153" s="37" t="s">
        <v>72</v>
      </c>
      <c r="B153" s="37" t="s">
        <v>376</v>
      </c>
      <c r="C153" s="37" t="s">
        <v>383</v>
      </c>
      <c r="D153" s="37" t="s">
        <v>384</v>
      </c>
      <c r="E153" s="37" t="s">
        <v>76</v>
      </c>
      <c r="F153" s="37" t="s">
        <v>385</v>
      </c>
      <c r="G153" s="58">
        <v>3</v>
      </c>
      <c r="H153" s="59">
        <v>3</v>
      </c>
      <c r="I153" s="58">
        <f t="shared" si="3"/>
        <v>1</v>
      </c>
      <c r="J153" s="69"/>
      <c r="K153" s="70"/>
      <c r="L153" s="69"/>
    </row>
    <row r="154" s="54" customFormat="1" ht="12.75" spans="1:13">
      <c r="A154" s="37" t="s">
        <v>72</v>
      </c>
      <c r="B154" s="37" t="s">
        <v>376</v>
      </c>
      <c r="C154" s="37" t="s">
        <v>383</v>
      </c>
      <c r="D154" s="37" t="s">
        <v>384</v>
      </c>
      <c r="E154" s="37" t="s">
        <v>76</v>
      </c>
      <c r="F154" s="37" t="s">
        <v>385</v>
      </c>
      <c r="G154" s="58">
        <v>3</v>
      </c>
      <c r="H154" s="59">
        <v>3</v>
      </c>
      <c r="I154" s="58">
        <f t="shared" si="3"/>
        <v>1</v>
      </c>
      <c r="J154" s="69"/>
      <c r="K154" s="70"/>
      <c r="L154" s="69"/>
    </row>
    <row r="155" s="54" customFormat="1" ht="12.75" spans="1:13">
      <c r="A155" s="37" t="s">
        <v>72</v>
      </c>
      <c r="B155" s="37" t="s">
        <v>376</v>
      </c>
      <c r="C155" s="37" t="s">
        <v>383</v>
      </c>
      <c r="D155" s="37" t="s">
        <v>384</v>
      </c>
      <c r="E155" s="37" t="s">
        <v>76</v>
      </c>
      <c r="F155" s="37" t="s">
        <v>385</v>
      </c>
      <c r="G155" s="58">
        <v>3</v>
      </c>
      <c r="H155" s="59">
        <v>3</v>
      </c>
      <c r="I155" s="58">
        <f t="shared" si="3"/>
        <v>1</v>
      </c>
      <c r="J155" s="69"/>
      <c r="K155" s="70"/>
      <c r="L155" s="69"/>
      <c r="M155" s="71"/>
    </row>
    <row r="156" s="37" customFormat="1" ht="12.75" spans="1:13">
      <c r="A156" s="37" t="s">
        <v>72</v>
      </c>
      <c r="B156" s="37" t="s">
        <v>376</v>
      </c>
      <c r="C156" s="37" t="s">
        <v>386</v>
      </c>
      <c r="D156" s="37" t="s">
        <v>387</v>
      </c>
      <c r="E156" s="37" t="s">
        <v>76</v>
      </c>
      <c r="F156" s="37" t="s">
        <v>388</v>
      </c>
      <c r="G156" s="58">
        <v>3</v>
      </c>
      <c r="H156" s="59">
        <v>3</v>
      </c>
      <c r="I156" s="58">
        <f t="shared" si="3"/>
        <v>1</v>
      </c>
      <c r="J156" s="67"/>
      <c r="K156" s="68"/>
      <c r="L156" s="67"/>
    </row>
    <row r="157" s="37" customFormat="1" ht="12.75" spans="1:13">
      <c r="A157" s="37" t="s">
        <v>72</v>
      </c>
      <c r="B157" s="37" t="s">
        <v>376</v>
      </c>
      <c r="C157" s="37" t="s">
        <v>386</v>
      </c>
      <c r="D157" s="37" t="s">
        <v>387</v>
      </c>
      <c r="E157" s="37" t="s">
        <v>76</v>
      </c>
      <c r="F157" s="37" t="s">
        <v>388</v>
      </c>
      <c r="G157" s="58">
        <v>3</v>
      </c>
      <c r="H157" s="59">
        <v>3</v>
      </c>
      <c r="I157" s="58">
        <f t="shared" si="3"/>
        <v>1</v>
      </c>
      <c r="J157" s="67"/>
      <c r="K157" s="68"/>
      <c r="L157" s="67"/>
    </row>
    <row r="158" s="37" customFormat="1" ht="12.75" spans="1:13">
      <c r="A158" s="37" t="s">
        <v>72</v>
      </c>
      <c r="B158" s="37" t="s">
        <v>376</v>
      </c>
      <c r="C158" s="37" t="s">
        <v>386</v>
      </c>
      <c r="D158" s="37" t="s">
        <v>387</v>
      </c>
      <c r="E158" s="37" t="s">
        <v>76</v>
      </c>
      <c r="F158" s="37" t="s">
        <v>388</v>
      </c>
      <c r="G158" s="58">
        <v>3</v>
      </c>
      <c r="H158" s="59">
        <v>3</v>
      </c>
      <c r="I158" s="58">
        <f t="shared" si="3"/>
        <v>1</v>
      </c>
      <c r="J158" s="67"/>
      <c r="K158" s="68"/>
      <c r="L158" s="67"/>
    </row>
    <row r="159" s="37" customFormat="1" ht="12.75" spans="1:13">
      <c r="A159" s="37" t="s">
        <v>72</v>
      </c>
      <c r="B159" s="37" t="s">
        <v>376</v>
      </c>
      <c r="C159" s="37" t="s">
        <v>386</v>
      </c>
      <c r="D159" s="37" t="s">
        <v>387</v>
      </c>
      <c r="E159" s="37" t="s">
        <v>76</v>
      </c>
      <c r="F159" s="37" t="s">
        <v>388</v>
      </c>
      <c r="G159" s="58">
        <v>3</v>
      </c>
      <c r="H159" s="59">
        <v>3</v>
      </c>
      <c r="I159" s="58">
        <f t="shared" si="3"/>
        <v>1</v>
      </c>
      <c r="J159" s="67"/>
      <c r="K159" s="68"/>
      <c r="L159" s="67"/>
    </row>
    <row r="160" s="37" customFormat="1" ht="12.75" spans="1:13">
      <c r="A160" s="37" t="s">
        <v>72</v>
      </c>
      <c r="B160" s="37" t="s">
        <v>376</v>
      </c>
      <c r="C160" s="37" t="s">
        <v>389</v>
      </c>
      <c r="D160" s="37" t="s">
        <v>390</v>
      </c>
      <c r="E160" s="37" t="s">
        <v>76</v>
      </c>
      <c r="F160" s="37" t="s">
        <v>391</v>
      </c>
      <c r="G160" s="58">
        <v>3</v>
      </c>
      <c r="H160" s="59">
        <v>3</v>
      </c>
      <c r="I160" s="58">
        <f t="shared" si="3"/>
        <v>1</v>
      </c>
      <c r="J160" s="67"/>
      <c r="K160" s="68"/>
      <c r="L160" s="67"/>
    </row>
    <row r="161" s="54" customFormat="1" ht="12.75" spans="1:12">
      <c r="A161" s="37" t="s">
        <v>72</v>
      </c>
      <c r="B161" s="37" t="s">
        <v>376</v>
      </c>
      <c r="C161" s="37" t="s">
        <v>389</v>
      </c>
      <c r="D161" s="37" t="s">
        <v>390</v>
      </c>
      <c r="E161" s="37" t="s">
        <v>76</v>
      </c>
      <c r="F161" s="37" t="s">
        <v>391</v>
      </c>
      <c r="G161" s="58">
        <v>3</v>
      </c>
      <c r="H161" s="59">
        <v>3</v>
      </c>
      <c r="I161" s="58">
        <f t="shared" si="3"/>
        <v>1</v>
      </c>
      <c r="J161" s="69"/>
      <c r="K161" s="70"/>
      <c r="L161" s="69"/>
    </row>
    <row r="162" s="54" customFormat="1" ht="12.75" spans="1:12">
      <c r="A162" s="37" t="s">
        <v>72</v>
      </c>
      <c r="B162" s="37" t="s">
        <v>376</v>
      </c>
      <c r="C162" s="37" t="s">
        <v>389</v>
      </c>
      <c r="D162" s="37" t="s">
        <v>390</v>
      </c>
      <c r="E162" s="37" t="s">
        <v>76</v>
      </c>
      <c r="F162" s="37" t="s">
        <v>391</v>
      </c>
      <c r="G162" s="58">
        <v>3</v>
      </c>
      <c r="H162" s="59">
        <v>3</v>
      </c>
      <c r="I162" s="58">
        <f t="shared" si="3"/>
        <v>1</v>
      </c>
      <c r="J162" s="69"/>
      <c r="K162" s="70"/>
      <c r="L162" s="69"/>
    </row>
    <row r="163" s="37" customFormat="1" ht="12.75" spans="1:12">
      <c r="A163" s="37" t="s">
        <v>72</v>
      </c>
      <c r="B163" s="37" t="s">
        <v>376</v>
      </c>
      <c r="C163" s="37" t="s">
        <v>389</v>
      </c>
      <c r="D163" s="37" t="s">
        <v>390</v>
      </c>
      <c r="E163" s="37" t="s">
        <v>76</v>
      </c>
      <c r="F163" s="37" t="s">
        <v>391</v>
      </c>
      <c r="G163" s="58">
        <v>3</v>
      </c>
      <c r="H163" s="59">
        <v>3</v>
      </c>
      <c r="I163" s="58">
        <f t="shared" si="3"/>
        <v>1</v>
      </c>
      <c r="J163" s="67"/>
      <c r="K163" s="68"/>
      <c r="L163" s="67"/>
    </row>
    <row r="164" s="37" customFormat="1" ht="12.75" spans="1:12">
      <c r="A164" s="37" t="s">
        <v>72</v>
      </c>
      <c r="B164" s="37" t="s">
        <v>376</v>
      </c>
      <c r="C164" s="37" t="s">
        <v>392</v>
      </c>
      <c r="D164" s="37" t="s">
        <v>393</v>
      </c>
      <c r="E164" s="37" t="s">
        <v>76</v>
      </c>
      <c r="F164" s="37" t="s">
        <v>394</v>
      </c>
      <c r="G164" s="58">
        <v>3</v>
      </c>
      <c r="H164" s="59">
        <v>3</v>
      </c>
      <c r="I164" s="58">
        <f t="shared" si="3"/>
        <v>1</v>
      </c>
      <c r="J164" s="67"/>
      <c r="K164" s="68"/>
      <c r="L164" s="67"/>
    </row>
    <row r="165" s="37" customFormat="1" ht="12.75" spans="1:12">
      <c r="A165" s="37" t="s">
        <v>72</v>
      </c>
      <c r="B165" s="37" t="s">
        <v>376</v>
      </c>
      <c r="C165" s="37" t="s">
        <v>392</v>
      </c>
      <c r="D165" s="37" t="s">
        <v>393</v>
      </c>
      <c r="E165" s="37" t="s">
        <v>76</v>
      </c>
      <c r="F165" s="37" t="s">
        <v>394</v>
      </c>
      <c r="G165" s="58">
        <v>3</v>
      </c>
      <c r="H165" s="59">
        <v>3</v>
      </c>
      <c r="I165" s="58">
        <f t="shared" si="3"/>
        <v>1</v>
      </c>
      <c r="J165" s="67"/>
      <c r="K165" s="68"/>
      <c r="L165" s="67"/>
    </row>
    <row r="166" s="37" customFormat="1" ht="12.75" spans="1:12">
      <c r="A166" s="37" t="s">
        <v>72</v>
      </c>
      <c r="B166" s="37" t="s">
        <v>376</v>
      </c>
      <c r="C166" s="37" t="s">
        <v>392</v>
      </c>
      <c r="D166" s="37" t="s">
        <v>393</v>
      </c>
      <c r="E166" s="37" t="s">
        <v>76</v>
      </c>
      <c r="F166" s="37" t="s">
        <v>394</v>
      </c>
      <c r="G166" s="58">
        <v>3</v>
      </c>
      <c r="H166" s="59">
        <v>3</v>
      </c>
      <c r="I166" s="58">
        <f t="shared" si="3"/>
        <v>1</v>
      </c>
      <c r="J166" s="67"/>
      <c r="K166" s="68"/>
      <c r="L166" s="67"/>
    </row>
    <row r="167" s="37" customFormat="1" ht="12.75" spans="1:12">
      <c r="A167" s="37" t="s">
        <v>72</v>
      </c>
      <c r="B167" s="37" t="s">
        <v>376</v>
      </c>
      <c r="C167" s="37" t="s">
        <v>392</v>
      </c>
      <c r="D167" s="37" t="s">
        <v>393</v>
      </c>
      <c r="E167" s="37" t="s">
        <v>76</v>
      </c>
      <c r="F167" s="37" t="s">
        <v>394</v>
      </c>
      <c r="G167" s="58">
        <v>3</v>
      </c>
      <c r="H167" s="59">
        <v>3</v>
      </c>
      <c r="I167" s="58">
        <f t="shared" si="3"/>
        <v>1</v>
      </c>
      <c r="J167" s="67"/>
      <c r="K167" s="68"/>
      <c r="L167" s="67"/>
    </row>
    <row r="168" s="54" customFormat="1" ht="12.75" spans="1:12">
      <c r="A168" s="37" t="s">
        <v>72</v>
      </c>
      <c r="B168" s="37" t="s">
        <v>376</v>
      </c>
      <c r="C168" s="37" t="s">
        <v>395</v>
      </c>
      <c r="D168" s="37" t="s">
        <v>396</v>
      </c>
      <c r="E168" s="37" t="s">
        <v>76</v>
      </c>
      <c r="F168" s="37" t="s">
        <v>397</v>
      </c>
      <c r="G168" s="58">
        <v>3</v>
      </c>
      <c r="H168" s="59">
        <v>3</v>
      </c>
      <c r="I168" s="58">
        <f t="shared" si="3"/>
        <v>1</v>
      </c>
      <c r="J168" s="69"/>
      <c r="K168" s="70"/>
      <c r="L168" s="69"/>
    </row>
    <row r="169" s="54" customFormat="1" ht="12.75" spans="1:12">
      <c r="A169" s="37" t="s">
        <v>72</v>
      </c>
      <c r="B169" s="37" t="s">
        <v>376</v>
      </c>
      <c r="C169" s="37" t="s">
        <v>395</v>
      </c>
      <c r="D169" s="37" t="s">
        <v>396</v>
      </c>
      <c r="E169" s="37" t="s">
        <v>76</v>
      </c>
      <c r="F169" s="37" t="s">
        <v>397</v>
      </c>
      <c r="G169" s="58">
        <v>3</v>
      </c>
      <c r="H169" s="59">
        <v>3</v>
      </c>
      <c r="I169" s="58">
        <f t="shared" si="3"/>
        <v>1</v>
      </c>
      <c r="J169" s="69"/>
      <c r="K169" s="70"/>
      <c r="L169" s="69"/>
    </row>
    <row r="170" s="54" customFormat="1" ht="12.75" spans="1:12">
      <c r="A170" s="37" t="s">
        <v>72</v>
      </c>
      <c r="B170" s="37" t="s">
        <v>376</v>
      </c>
      <c r="C170" s="37" t="s">
        <v>395</v>
      </c>
      <c r="D170" s="37" t="s">
        <v>396</v>
      </c>
      <c r="E170" s="37" t="s">
        <v>76</v>
      </c>
      <c r="F170" s="37" t="s">
        <v>397</v>
      </c>
      <c r="G170" s="58">
        <v>3</v>
      </c>
      <c r="H170" s="59">
        <v>3</v>
      </c>
      <c r="I170" s="58">
        <f t="shared" si="3"/>
        <v>1</v>
      </c>
      <c r="J170" s="69"/>
      <c r="K170" s="70"/>
      <c r="L170" s="69"/>
    </row>
    <row r="171" s="54" customFormat="1" ht="12.75" spans="1:12">
      <c r="A171" s="37" t="s">
        <v>72</v>
      </c>
      <c r="B171" s="37" t="s">
        <v>376</v>
      </c>
      <c r="C171" s="37" t="s">
        <v>395</v>
      </c>
      <c r="D171" s="37" t="s">
        <v>396</v>
      </c>
      <c r="E171" s="37" t="s">
        <v>76</v>
      </c>
      <c r="F171" s="37" t="s">
        <v>397</v>
      </c>
      <c r="G171" s="58">
        <v>3</v>
      </c>
      <c r="H171" s="59">
        <v>3</v>
      </c>
      <c r="I171" s="58">
        <f t="shared" si="3"/>
        <v>1</v>
      </c>
      <c r="J171" s="69"/>
      <c r="K171" s="70"/>
      <c r="L171" s="69"/>
    </row>
    <row r="172" s="37" customFormat="1" ht="12.75" spans="1:12">
      <c r="A172" s="37" t="s">
        <v>72</v>
      </c>
      <c r="B172" s="37" t="s">
        <v>376</v>
      </c>
      <c r="C172" s="37" t="s">
        <v>398</v>
      </c>
      <c r="D172" s="37" t="s">
        <v>399</v>
      </c>
      <c r="E172" s="37" t="s">
        <v>76</v>
      </c>
      <c r="F172" s="37" t="s">
        <v>400</v>
      </c>
      <c r="G172" s="58">
        <v>3</v>
      </c>
      <c r="H172" s="59">
        <v>3</v>
      </c>
      <c r="I172" s="58">
        <f t="shared" si="3"/>
        <v>1</v>
      </c>
      <c r="J172" s="67"/>
      <c r="K172" s="68"/>
      <c r="L172" s="67"/>
    </row>
    <row r="173" s="37" customFormat="1" ht="12.75" spans="1:12">
      <c r="A173" s="37" t="s">
        <v>72</v>
      </c>
      <c r="B173" s="37" t="s">
        <v>376</v>
      </c>
      <c r="C173" s="37" t="s">
        <v>398</v>
      </c>
      <c r="D173" s="37" t="s">
        <v>399</v>
      </c>
      <c r="E173" s="37" t="s">
        <v>76</v>
      </c>
      <c r="F173" s="37" t="s">
        <v>400</v>
      </c>
      <c r="G173" s="58">
        <v>3</v>
      </c>
      <c r="H173" s="59">
        <v>3</v>
      </c>
      <c r="I173" s="58">
        <f t="shared" si="3"/>
        <v>1</v>
      </c>
      <c r="J173" s="67"/>
      <c r="K173" s="68"/>
      <c r="L173" s="67"/>
    </row>
    <row r="174" s="37" customFormat="1" ht="12.75" spans="1:12">
      <c r="A174" s="37" t="s">
        <v>72</v>
      </c>
      <c r="B174" s="37" t="s">
        <v>376</v>
      </c>
      <c r="C174" s="37" t="s">
        <v>398</v>
      </c>
      <c r="D174" s="37" t="s">
        <v>399</v>
      </c>
      <c r="E174" s="37" t="s">
        <v>76</v>
      </c>
      <c r="F174" s="37" t="s">
        <v>400</v>
      </c>
      <c r="G174" s="58">
        <v>3</v>
      </c>
      <c r="H174" s="59">
        <v>3</v>
      </c>
      <c r="I174" s="58">
        <f t="shared" si="3"/>
        <v>1</v>
      </c>
      <c r="J174" s="67"/>
      <c r="K174" s="68"/>
      <c r="L174" s="67"/>
    </row>
    <row r="175" s="37" customFormat="1" ht="12.75" spans="1:12">
      <c r="A175" s="37" t="s">
        <v>72</v>
      </c>
      <c r="B175" s="37" t="s">
        <v>376</v>
      </c>
      <c r="C175" s="37" t="s">
        <v>398</v>
      </c>
      <c r="D175" s="37" t="s">
        <v>399</v>
      </c>
      <c r="E175" s="37" t="s">
        <v>76</v>
      </c>
      <c r="F175" s="37" t="s">
        <v>400</v>
      </c>
      <c r="G175" s="58">
        <v>3</v>
      </c>
      <c r="H175" s="59">
        <v>3</v>
      </c>
      <c r="I175" s="58">
        <f t="shared" si="3"/>
        <v>1</v>
      </c>
      <c r="J175" s="67"/>
      <c r="K175" s="68"/>
      <c r="L175" s="67"/>
    </row>
    <row r="176" s="37" customFormat="1" ht="12.75" spans="1:12">
      <c r="A176" s="37" t="s">
        <v>72</v>
      </c>
      <c r="B176" s="37" t="s">
        <v>376</v>
      </c>
      <c r="C176" s="37" t="s">
        <v>401</v>
      </c>
      <c r="D176" s="37" t="s">
        <v>402</v>
      </c>
      <c r="E176" s="37" t="s">
        <v>76</v>
      </c>
      <c r="F176" s="37" t="s">
        <v>403</v>
      </c>
      <c r="G176" s="58">
        <v>3</v>
      </c>
      <c r="H176" s="59">
        <v>3</v>
      </c>
      <c r="I176" s="58">
        <f t="shared" si="3"/>
        <v>1</v>
      </c>
      <c r="J176" s="67"/>
      <c r="K176" s="68"/>
      <c r="L176" s="67"/>
    </row>
    <row r="177" s="54" customFormat="1" ht="12.75" spans="1:12">
      <c r="A177" s="37" t="s">
        <v>72</v>
      </c>
      <c r="B177" s="37" t="s">
        <v>376</v>
      </c>
      <c r="C177" s="37" t="s">
        <v>401</v>
      </c>
      <c r="D177" s="37" t="s">
        <v>402</v>
      </c>
      <c r="E177" s="37" t="s">
        <v>76</v>
      </c>
      <c r="F177" s="37" t="s">
        <v>403</v>
      </c>
      <c r="G177" s="58">
        <v>3</v>
      </c>
      <c r="H177" s="59">
        <v>3</v>
      </c>
      <c r="I177" s="58">
        <f t="shared" si="3"/>
        <v>1</v>
      </c>
      <c r="J177" s="69"/>
      <c r="K177" s="70"/>
      <c r="L177" s="69"/>
    </row>
    <row r="178" s="54" customFormat="1" ht="12.75" spans="1:12">
      <c r="A178" s="37" t="s">
        <v>72</v>
      </c>
      <c r="B178" s="37" t="s">
        <v>376</v>
      </c>
      <c r="C178" s="37" t="s">
        <v>401</v>
      </c>
      <c r="D178" s="37" t="s">
        <v>402</v>
      </c>
      <c r="E178" s="37" t="s">
        <v>76</v>
      </c>
      <c r="F178" s="37" t="s">
        <v>403</v>
      </c>
      <c r="G178" s="58">
        <v>3</v>
      </c>
      <c r="H178" s="59">
        <v>3</v>
      </c>
      <c r="I178" s="58">
        <f t="shared" si="3"/>
        <v>1</v>
      </c>
      <c r="J178" s="69"/>
      <c r="K178" s="70"/>
      <c r="L178" s="69"/>
    </row>
    <row r="179" s="54" customFormat="1" ht="12.75" spans="1:12">
      <c r="A179" s="37" t="s">
        <v>72</v>
      </c>
      <c r="B179" s="37" t="s">
        <v>376</v>
      </c>
      <c r="C179" s="37" t="s">
        <v>401</v>
      </c>
      <c r="D179" s="37" t="s">
        <v>402</v>
      </c>
      <c r="E179" s="37" t="s">
        <v>76</v>
      </c>
      <c r="F179" s="37" t="s">
        <v>403</v>
      </c>
      <c r="G179" s="58">
        <v>3</v>
      </c>
      <c r="H179" s="59">
        <v>3</v>
      </c>
      <c r="I179" s="58">
        <f t="shared" si="3"/>
        <v>1</v>
      </c>
      <c r="J179" s="69"/>
      <c r="K179" s="70"/>
      <c r="L179" s="69"/>
    </row>
    <row r="180" s="37" customFormat="1" ht="12.75" spans="1:12">
      <c r="A180" s="37" t="s">
        <v>72</v>
      </c>
      <c r="B180" s="37" t="s">
        <v>376</v>
      </c>
      <c r="C180" s="37" t="s">
        <v>404</v>
      </c>
      <c r="D180" s="37" t="s">
        <v>405</v>
      </c>
      <c r="E180" s="37" t="s">
        <v>76</v>
      </c>
      <c r="F180" s="37" t="s">
        <v>406</v>
      </c>
      <c r="G180" s="58">
        <v>3</v>
      </c>
      <c r="H180" s="59">
        <v>3</v>
      </c>
      <c r="I180" s="58">
        <f t="shared" si="3"/>
        <v>1</v>
      </c>
      <c r="J180" s="67"/>
      <c r="K180" s="68"/>
      <c r="L180" s="67"/>
    </row>
    <row r="181" s="37" customFormat="1" ht="12.75" spans="1:12">
      <c r="A181" s="37" t="s">
        <v>72</v>
      </c>
      <c r="B181" s="37" t="s">
        <v>376</v>
      </c>
      <c r="C181" s="37" t="s">
        <v>404</v>
      </c>
      <c r="D181" s="37" t="s">
        <v>405</v>
      </c>
      <c r="E181" s="37" t="s">
        <v>76</v>
      </c>
      <c r="F181" s="37" t="s">
        <v>406</v>
      </c>
      <c r="G181" s="58">
        <v>3</v>
      </c>
      <c r="H181" s="59">
        <v>3</v>
      </c>
      <c r="I181" s="58">
        <f t="shared" si="3"/>
        <v>1</v>
      </c>
      <c r="J181" s="67"/>
      <c r="K181" s="68"/>
      <c r="L181" s="67"/>
    </row>
    <row r="182" s="37" customFormat="1" ht="12.75" spans="1:12">
      <c r="A182" s="37" t="s">
        <v>72</v>
      </c>
      <c r="B182" s="37" t="s">
        <v>376</v>
      </c>
      <c r="C182" s="37" t="s">
        <v>404</v>
      </c>
      <c r="D182" s="37" t="s">
        <v>405</v>
      </c>
      <c r="E182" s="37" t="s">
        <v>76</v>
      </c>
      <c r="F182" s="37" t="s">
        <v>406</v>
      </c>
      <c r="G182" s="58">
        <v>3</v>
      </c>
      <c r="H182" s="59">
        <v>3</v>
      </c>
      <c r="I182" s="58">
        <f t="shared" si="3"/>
        <v>1</v>
      </c>
      <c r="J182" s="67"/>
      <c r="K182" s="68"/>
      <c r="L182" s="67"/>
    </row>
    <row r="183" s="37" customFormat="1" ht="12.75" spans="1:12">
      <c r="A183" s="37" t="s">
        <v>72</v>
      </c>
      <c r="B183" s="37" t="s">
        <v>376</v>
      </c>
      <c r="C183" s="37" t="s">
        <v>404</v>
      </c>
      <c r="D183" s="37" t="s">
        <v>405</v>
      </c>
      <c r="E183" s="37" t="s">
        <v>76</v>
      </c>
      <c r="F183" s="37" t="s">
        <v>406</v>
      </c>
      <c r="G183" s="58">
        <v>3</v>
      </c>
      <c r="H183" s="59">
        <v>3</v>
      </c>
      <c r="I183" s="58">
        <f t="shared" si="3"/>
        <v>1</v>
      </c>
      <c r="J183" s="67"/>
      <c r="K183" s="68"/>
      <c r="L183" s="67"/>
    </row>
    <row r="184" s="37" customFormat="1" ht="12.75" spans="1:12">
      <c r="A184" s="54" t="s">
        <v>72</v>
      </c>
      <c r="B184" s="54" t="s">
        <v>407</v>
      </c>
      <c r="C184" s="54" t="s">
        <v>408</v>
      </c>
      <c r="D184" s="54" t="s">
        <v>189</v>
      </c>
      <c r="E184" s="54" t="s">
        <v>409</v>
      </c>
      <c r="F184" s="37" t="s">
        <v>410</v>
      </c>
      <c r="G184" s="58">
        <v>44750</v>
      </c>
      <c r="H184" s="59">
        <v>0.6</v>
      </c>
      <c r="I184" s="58">
        <f t="shared" si="3"/>
        <v>74583</v>
      </c>
      <c r="J184" s="67"/>
      <c r="K184" s="68"/>
      <c r="L184" s="67"/>
    </row>
    <row r="185" s="54" customFormat="1" ht="12.75" spans="1:12">
      <c r="A185" s="37" t="s">
        <v>72</v>
      </c>
      <c r="B185" s="37" t="s">
        <v>407</v>
      </c>
      <c r="C185" s="37" t="s">
        <v>411</v>
      </c>
      <c r="D185" s="37" t="s">
        <v>412</v>
      </c>
      <c r="E185" s="37" t="s">
        <v>409</v>
      </c>
      <c r="F185" s="37" t="s">
        <v>413</v>
      </c>
      <c r="G185" s="58">
        <v>40830</v>
      </c>
      <c r="H185" s="59">
        <v>0.6</v>
      </c>
      <c r="I185" s="58">
        <f t="shared" si="3"/>
        <v>68050</v>
      </c>
      <c r="J185" s="69"/>
      <c r="K185" s="70"/>
      <c r="L185" s="69"/>
    </row>
    <row r="186" s="37" customFormat="1" ht="12.75" spans="1:12">
      <c r="A186" s="54" t="s">
        <v>72</v>
      </c>
      <c r="B186" s="54" t="s">
        <v>407</v>
      </c>
      <c r="C186" s="54" t="s">
        <v>414</v>
      </c>
      <c r="D186" s="54" t="s">
        <v>17</v>
      </c>
      <c r="E186" s="54" t="s">
        <v>409</v>
      </c>
      <c r="F186" s="37" t="s">
        <v>415</v>
      </c>
      <c r="G186" s="58">
        <v>44700</v>
      </c>
      <c r="H186" s="59">
        <v>0.6</v>
      </c>
      <c r="I186" s="58">
        <f t="shared" si="3"/>
        <v>74500</v>
      </c>
      <c r="J186" s="67"/>
      <c r="K186" s="68"/>
      <c r="L186" s="67"/>
    </row>
    <row r="187" s="37" customFormat="1" ht="12.75" spans="1:12">
      <c r="A187" s="37" t="s">
        <v>72</v>
      </c>
      <c r="B187" s="37" t="s">
        <v>407</v>
      </c>
      <c r="C187" s="37" t="s">
        <v>416</v>
      </c>
      <c r="D187" s="37" t="s">
        <v>87</v>
      </c>
      <c r="E187" s="37" t="s">
        <v>409</v>
      </c>
      <c r="F187" s="37" t="s">
        <v>417</v>
      </c>
      <c r="G187" s="58">
        <v>44800</v>
      </c>
      <c r="H187" s="59">
        <v>0.62</v>
      </c>
      <c r="I187" s="58">
        <f t="shared" si="3"/>
        <v>72258</v>
      </c>
      <c r="J187" s="67"/>
      <c r="K187" s="68"/>
      <c r="L187" s="67"/>
    </row>
    <row r="188" s="37" customFormat="1" ht="12.75" spans="1:12">
      <c r="A188" s="54" t="s">
        <v>72</v>
      </c>
      <c r="B188" s="54" t="s">
        <v>407</v>
      </c>
      <c r="C188" s="54" t="s">
        <v>418</v>
      </c>
      <c r="D188" s="54" t="s">
        <v>23</v>
      </c>
      <c r="E188" s="54" t="s">
        <v>409</v>
      </c>
      <c r="F188" s="37" t="s">
        <v>419</v>
      </c>
      <c r="G188" s="58">
        <v>44500</v>
      </c>
      <c r="H188" s="59">
        <v>0.6</v>
      </c>
      <c r="I188" s="58">
        <f t="shared" si="3"/>
        <v>74166</v>
      </c>
      <c r="J188" s="67"/>
      <c r="K188" s="68"/>
      <c r="L188" s="67"/>
    </row>
    <row r="189" s="37" customFormat="1" ht="12.75" spans="1:12">
      <c r="A189" s="37" t="s">
        <v>72</v>
      </c>
      <c r="B189" s="37" t="s">
        <v>407</v>
      </c>
      <c r="C189" s="37" t="s">
        <v>420</v>
      </c>
      <c r="D189" s="37" t="s">
        <v>98</v>
      </c>
      <c r="E189" s="37" t="s">
        <v>409</v>
      </c>
      <c r="F189" s="37" t="s">
        <v>421</v>
      </c>
      <c r="G189" s="58">
        <v>43550</v>
      </c>
      <c r="H189" s="59">
        <v>0.63</v>
      </c>
      <c r="I189" s="58">
        <f t="shared" si="3"/>
        <v>69126</v>
      </c>
      <c r="J189" s="67"/>
      <c r="K189" s="68"/>
      <c r="L189" s="67"/>
    </row>
    <row r="190" s="37" customFormat="1" ht="12.75" spans="1:12">
      <c r="A190" s="54" t="s">
        <v>72</v>
      </c>
      <c r="B190" s="54" t="s">
        <v>407</v>
      </c>
      <c r="C190" s="54" t="s">
        <v>422</v>
      </c>
      <c r="D190" s="54" t="s">
        <v>423</v>
      </c>
      <c r="E190" s="54" t="s">
        <v>409</v>
      </c>
      <c r="F190" s="37" t="s">
        <v>424</v>
      </c>
      <c r="G190" s="58">
        <v>43600</v>
      </c>
      <c r="H190" s="59">
        <v>0.64</v>
      </c>
      <c r="I190" s="58">
        <f t="shared" si="3"/>
        <v>68125</v>
      </c>
      <c r="J190" s="67"/>
      <c r="K190" s="68"/>
      <c r="L190" s="67"/>
    </row>
    <row r="191" s="54" customFormat="1" ht="12.75" spans="1:12">
      <c r="A191" s="37" t="s">
        <v>72</v>
      </c>
      <c r="B191" s="37" t="s">
        <v>407</v>
      </c>
      <c r="C191" s="37" t="s">
        <v>425</v>
      </c>
      <c r="D191" s="37" t="s">
        <v>426</v>
      </c>
      <c r="E191" s="37" t="s">
        <v>409</v>
      </c>
      <c r="F191" s="37" t="s">
        <v>427</v>
      </c>
      <c r="G191" s="58">
        <v>41160</v>
      </c>
      <c r="H191" s="59">
        <v>0.6</v>
      </c>
      <c r="I191" s="58">
        <f t="shared" si="3"/>
        <v>68600</v>
      </c>
      <c r="J191" s="69"/>
      <c r="K191" s="70"/>
      <c r="L191" s="69"/>
    </row>
    <row r="192" s="54" customFormat="1" ht="12.75" spans="1:12">
      <c r="A192" s="54" t="s">
        <v>72</v>
      </c>
      <c r="B192" s="54" t="s">
        <v>407</v>
      </c>
      <c r="C192" s="54" t="s">
        <v>428</v>
      </c>
      <c r="D192" s="54" t="s">
        <v>429</v>
      </c>
      <c r="E192" s="54" t="s">
        <v>409</v>
      </c>
      <c r="F192" s="37" t="s">
        <v>430</v>
      </c>
      <c r="G192" s="58">
        <v>43120</v>
      </c>
      <c r="H192" s="59">
        <v>0.62</v>
      </c>
      <c r="I192" s="58">
        <f t="shared" si="3"/>
        <v>69548</v>
      </c>
      <c r="J192" s="69"/>
      <c r="K192" s="70"/>
      <c r="L192" s="69"/>
    </row>
    <row r="193" s="37" customFormat="1" ht="12.75" spans="1:12">
      <c r="A193" s="37" t="s">
        <v>72</v>
      </c>
      <c r="B193" s="37" t="s">
        <v>407</v>
      </c>
      <c r="C193" s="37" t="s">
        <v>431</v>
      </c>
      <c r="D193" s="37" t="s">
        <v>26</v>
      </c>
      <c r="E193" s="37" t="s">
        <v>409</v>
      </c>
      <c r="F193" s="37" t="s">
        <v>432</v>
      </c>
      <c r="G193" s="58">
        <v>41900</v>
      </c>
      <c r="H193" s="59">
        <v>0.6</v>
      </c>
      <c r="I193" s="58">
        <f t="shared" si="3"/>
        <v>69833</v>
      </c>
      <c r="J193" s="67"/>
      <c r="K193" s="68"/>
      <c r="L193" s="67"/>
    </row>
    <row r="194" s="37" customFormat="1" ht="12.75" spans="1:12">
      <c r="A194" s="54" t="s">
        <v>72</v>
      </c>
      <c r="B194" s="54" t="s">
        <v>407</v>
      </c>
      <c r="C194" s="54" t="s">
        <v>433</v>
      </c>
      <c r="D194" s="54" t="s">
        <v>114</v>
      </c>
      <c r="E194" s="54" t="s">
        <v>409</v>
      </c>
      <c r="F194" s="37" t="s">
        <v>434</v>
      </c>
      <c r="G194" s="58">
        <v>43520</v>
      </c>
      <c r="H194" s="59">
        <v>0.62</v>
      </c>
      <c r="I194" s="58">
        <f t="shared" ref="I194:I257" si="4">ROUNDDOWN(G194/H194,0)</f>
        <v>70193</v>
      </c>
      <c r="J194" s="67"/>
      <c r="K194" s="68"/>
      <c r="L194" s="67"/>
    </row>
    <row r="195" s="37" customFormat="1" ht="12.75" spans="1:12">
      <c r="A195" s="37" t="s">
        <v>72</v>
      </c>
      <c r="B195" s="37" t="s">
        <v>407</v>
      </c>
      <c r="C195" s="37" t="s">
        <v>435</v>
      </c>
      <c r="D195" s="37" t="s">
        <v>436</v>
      </c>
      <c r="E195" s="37" t="s">
        <v>409</v>
      </c>
      <c r="F195" s="37" t="s">
        <v>437</v>
      </c>
      <c r="G195" s="58">
        <v>40300</v>
      </c>
      <c r="H195" s="59">
        <v>0.6</v>
      </c>
      <c r="I195" s="58">
        <f t="shared" si="4"/>
        <v>67166</v>
      </c>
      <c r="J195" s="67"/>
      <c r="K195" s="68"/>
      <c r="L195" s="67"/>
    </row>
    <row r="196" s="37" customFormat="1" ht="12.75" spans="1:12">
      <c r="A196" s="54" t="s">
        <v>72</v>
      </c>
      <c r="B196" s="54" t="s">
        <v>407</v>
      </c>
      <c r="C196" s="54" t="s">
        <v>438</v>
      </c>
      <c r="D196" s="54" t="s">
        <v>439</v>
      </c>
      <c r="E196" s="54" t="s">
        <v>409</v>
      </c>
      <c r="F196" s="37" t="s">
        <v>440</v>
      </c>
      <c r="G196" s="58">
        <v>42140</v>
      </c>
      <c r="H196" s="59">
        <v>0.61</v>
      </c>
      <c r="I196" s="58">
        <f t="shared" si="4"/>
        <v>69081</v>
      </c>
      <c r="J196" s="67"/>
      <c r="K196" s="68"/>
      <c r="L196" s="67"/>
    </row>
    <row r="197" s="37" customFormat="1" ht="12.75" spans="1:12">
      <c r="A197" s="37" t="s">
        <v>72</v>
      </c>
      <c r="B197" s="37" t="s">
        <v>407</v>
      </c>
      <c r="C197" s="37" t="s">
        <v>441</v>
      </c>
      <c r="D197" s="37" t="s">
        <v>29</v>
      </c>
      <c r="E197" s="37" t="s">
        <v>409</v>
      </c>
      <c r="F197" s="37" t="s">
        <v>442</v>
      </c>
      <c r="G197" s="58">
        <v>43600</v>
      </c>
      <c r="H197" s="59">
        <v>0.6</v>
      </c>
      <c r="I197" s="58">
        <f t="shared" si="4"/>
        <v>72666</v>
      </c>
      <c r="J197" s="67"/>
      <c r="K197" s="68"/>
      <c r="L197" s="67"/>
    </row>
    <row r="198" s="54" customFormat="1" ht="12.75" spans="1:12">
      <c r="A198" s="54" t="s">
        <v>72</v>
      </c>
      <c r="B198" s="54" t="s">
        <v>407</v>
      </c>
      <c r="C198" s="54" t="s">
        <v>443</v>
      </c>
      <c r="D198" s="54" t="s">
        <v>444</v>
      </c>
      <c r="E198" s="54" t="s">
        <v>409</v>
      </c>
      <c r="F198" s="37" t="s">
        <v>445</v>
      </c>
      <c r="G198" s="58">
        <v>42420</v>
      </c>
      <c r="H198" s="59">
        <v>0.6</v>
      </c>
      <c r="I198" s="58">
        <f t="shared" si="4"/>
        <v>70700</v>
      </c>
      <c r="J198" s="69"/>
      <c r="K198" s="70"/>
      <c r="L198" s="69"/>
    </row>
    <row r="199" s="54" customFormat="1" ht="12.75" spans="1:12">
      <c r="A199" s="37" t="s">
        <v>72</v>
      </c>
      <c r="B199" s="37" t="s">
        <v>407</v>
      </c>
      <c r="C199" s="37" t="s">
        <v>446</v>
      </c>
      <c r="D199" s="37" t="s">
        <v>32</v>
      </c>
      <c r="E199" s="37" t="s">
        <v>409</v>
      </c>
      <c r="F199" s="37" t="s">
        <v>447</v>
      </c>
      <c r="G199" s="58">
        <v>48340</v>
      </c>
      <c r="H199" s="59">
        <v>0.6</v>
      </c>
      <c r="I199" s="58">
        <f t="shared" si="4"/>
        <v>80566</v>
      </c>
      <c r="J199" s="69"/>
      <c r="K199" s="70"/>
      <c r="L199" s="69"/>
    </row>
    <row r="200" s="54" customFormat="1" ht="12.75" spans="1:12">
      <c r="A200" s="54" t="s">
        <v>72</v>
      </c>
      <c r="B200" s="54" t="s">
        <v>407</v>
      </c>
      <c r="C200" s="54" t="s">
        <v>448</v>
      </c>
      <c r="D200" s="54" t="s">
        <v>449</v>
      </c>
      <c r="E200" s="54" t="s">
        <v>409</v>
      </c>
      <c r="F200" s="37" t="s">
        <v>450</v>
      </c>
      <c r="G200" s="58">
        <v>45000</v>
      </c>
      <c r="H200" s="59">
        <v>0.6</v>
      </c>
      <c r="I200" s="58">
        <f t="shared" si="4"/>
        <v>75000</v>
      </c>
      <c r="J200" s="69"/>
      <c r="K200" s="70"/>
      <c r="L200" s="69"/>
    </row>
    <row r="201" s="37" customFormat="1" ht="12.75" spans="1:12">
      <c r="A201" s="37" t="s">
        <v>72</v>
      </c>
      <c r="B201" s="37" t="s">
        <v>407</v>
      </c>
      <c r="C201" s="37" t="s">
        <v>451</v>
      </c>
      <c r="D201" s="37" t="s">
        <v>452</v>
      </c>
      <c r="E201" s="37" t="s">
        <v>409</v>
      </c>
      <c r="F201" s="37" t="s">
        <v>453</v>
      </c>
      <c r="G201" s="58">
        <v>43770</v>
      </c>
      <c r="H201" s="59">
        <v>0.6</v>
      </c>
      <c r="I201" s="58">
        <f t="shared" si="4"/>
        <v>72950</v>
      </c>
      <c r="J201" s="67"/>
      <c r="K201" s="68"/>
      <c r="L201" s="67"/>
    </row>
    <row r="202" s="37" customFormat="1" ht="12.75" spans="1:12">
      <c r="A202" s="54" t="s">
        <v>72</v>
      </c>
      <c r="B202" s="54" t="s">
        <v>407</v>
      </c>
      <c r="C202" s="54" t="s">
        <v>454</v>
      </c>
      <c r="D202" s="54" t="s">
        <v>455</v>
      </c>
      <c r="E202" s="54" t="s">
        <v>409</v>
      </c>
      <c r="F202" s="37" t="s">
        <v>456</v>
      </c>
      <c r="G202" s="58">
        <v>45700</v>
      </c>
      <c r="H202" s="59">
        <v>0.6</v>
      </c>
      <c r="I202" s="58">
        <f t="shared" si="4"/>
        <v>76166</v>
      </c>
      <c r="J202" s="67"/>
      <c r="K202" s="68"/>
      <c r="L202" s="67"/>
    </row>
    <row r="203" s="37" customFormat="1" ht="12.75" spans="1:12">
      <c r="A203" s="37" t="s">
        <v>72</v>
      </c>
      <c r="B203" s="37" t="s">
        <v>407</v>
      </c>
      <c r="C203" s="37" t="s">
        <v>457</v>
      </c>
      <c r="D203" s="37" t="s">
        <v>458</v>
      </c>
      <c r="E203" s="37" t="s">
        <v>409</v>
      </c>
      <c r="F203" s="37" t="s">
        <v>459</v>
      </c>
      <c r="G203" s="58">
        <v>46020</v>
      </c>
      <c r="H203" s="59">
        <v>0.6</v>
      </c>
      <c r="I203" s="58">
        <f t="shared" si="4"/>
        <v>76700</v>
      </c>
      <c r="J203" s="67"/>
      <c r="K203" s="68"/>
      <c r="L203" s="67"/>
    </row>
    <row r="204" s="37" customFormat="1" ht="12.75" spans="1:12">
      <c r="A204" s="54" t="s">
        <v>72</v>
      </c>
      <c r="B204" s="54" t="s">
        <v>407</v>
      </c>
      <c r="C204" s="54" t="s">
        <v>460</v>
      </c>
      <c r="D204" s="54" t="s">
        <v>461</v>
      </c>
      <c r="E204" s="54" t="s">
        <v>409</v>
      </c>
      <c r="F204" s="37" t="s">
        <v>462</v>
      </c>
      <c r="G204" s="58">
        <v>43350</v>
      </c>
      <c r="H204" s="66">
        <v>0.6</v>
      </c>
      <c r="I204" s="58">
        <f t="shared" si="4"/>
        <v>72250</v>
      </c>
      <c r="J204" s="67"/>
      <c r="K204" s="68"/>
      <c r="L204" s="67"/>
    </row>
    <row r="205" s="37" customFormat="1" ht="12.75" spans="1:12">
      <c r="A205" s="37" t="s">
        <v>72</v>
      </c>
      <c r="B205" s="37" t="s">
        <v>407</v>
      </c>
      <c r="C205" s="37" t="s">
        <v>463</v>
      </c>
      <c r="D205" s="37" t="s">
        <v>464</v>
      </c>
      <c r="E205" s="37" t="s">
        <v>409</v>
      </c>
      <c r="F205" s="37" t="s">
        <v>465</v>
      </c>
      <c r="G205" s="58">
        <v>42875</v>
      </c>
      <c r="H205" s="59">
        <v>0.6</v>
      </c>
      <c r="I205" s="58">
        <f t="shared" si="4"/>
        <v>71458</v>
      </c>
      <c r="J205" s="67"/>
      <c r="K205" s="68"/>
      <c r="L205" s="67"/>
    </row>
    <row r="206" s="54" customFormat="1" ht="12.75" spans="1:12">
      <c r="A206" s="54" t="s">
        <v>72</v>
      </c>
      <c r="B206" s="54" t="s">
        <v>407</v>
      </c>
      <c r="C206" s="54" t="s">
        <v>466</v>
      </c>
      <c r="D206" s="54" t="s">
        <v>141</v>
      </c>
      <c r="E206" s="54" t="s">
        <v>409</v>
      </c>
      <c r="F206" s="37" t="s">
        <v>467</v>
      </c>
      <c r="G206" s="58">
        <v>45160</v>
      </c>
      <c r="H206" s="59">
        <v>0.63</v>
      </c>
      <c r="I206" s="58">
        <f t="shared" si="4"/>
        <v>71682</v>
      </c>
      <c r="J206" s="69"/>
      <c r="K206" s="70"/>
      <c r="L206" s="69"/>
    </row>
    <row r="207" s="54" customFormat="1" ht="12.75" spans="1:12">
      <c r="A207" s="37" t="s">
        <v>72</v>
      </c>
      <c r="B207" s="37" t="s">
        <v>407</v>
      </c>
      <c r="C207" s="37" t="s">
        <v>468</v>
      </c>
      <c r="D207" s="37" t="s">
        <v>35</v>
      </c>
      <c r="E207" s="37" t="s">
        <v>409</v>
      </c>
      <c r="F207" s="37" t="s">
        <v>469</v>
      </c>
      <c r="G207" s="58">
        <v>46200</v>
      </c>
      <c r="H207" s="59">
        <v>0.6</v>
      </c>
      <c r="I207" s="58">
        <f t="shared" si="4"/>
        <v>77000</v>
      </c>
      <c r="J207" s="69"/>
      <c r="K207" s="70"/>
      <c r="L207" s="69"/>
    </row>
    <row r="208" s="54" customFormat="1" ht="12.75" spans="1:12">
      <c r="A208" s="54" t="s">
        <v>72</v>
      </c>
      <c r="B208" s="54" t="s">
        <v>407</v>
      </c>
      <c r="C208" s="54" t="s">
        <v>470</v>
      </c>
      <c r="D208" s="54" t="s">
        <v>38</v>
      </c>
      <c r="E208" s="54" t="s">
        <v>409</v>
      </c>
      <c r="F208" s="37" t="s">
        <v>471</v>
      </c>
      <c r="G208" s="58">
        <v>45450</v>
      </c>
      <c r="H208" s="59">
        <v>0.6</v>
      </c>
      <c r="I208" s="58">
        <f t="shared" si="4"/>
        <v>75750</v>
      </c>
      <c r="J208" s="69"/>
      <c r="K208" s="70"/>
      <c r="L208" s="69"/>
    </row>
    <row r="209" s="54" customFormat="1" ht="12.75" spans="1:14">
      <c r="A209" s="37" t="s">
        <v>72</v>
      </c>
      <c r="B209" s="37" t="s">
        <v>407</v>
      </c>
      <c r="C209" s="37" t="s">
        <v>472</v>
      </c>
      <c r="D209" s="37" t="s">
        <v>473</v>
      </c>
      <c r="E209" s="37" t="s">
        <v>409</v>
      </c>
      <c r="F209" s="37" t="s">
        <v>474</v>
      </c>
      <c r="G209" s="58">
        <v>42120</v>
      </c>
      <c r="H209" s="59">
        <v>0.6</v>
      </c>
      <c r="I209" s="58">
        <f t="shared" si="4"/>
        <v>70200</v>
      </c>
      <c r="J209" s="69"/>
      <c r="K209" s="70"/>
      <c r="L209" s="69"/>
    </row>
    <row r="210" s="37" customFormat="1" ht="12.75" spans="1:14">
      <c r="A210" s="54" t="s">
        <v>72</v>
      </c>
      <c r="B210" s="54" t="s">
        <v>407</v>
      </c>
      <c r="C210" s="54" t="s">
        <v>475</v>
      </c>
      <c r="D210" s="54" t="s">
        <v>476</v>
      </c>
      <c r="E210" s="54" t="s">
        <v>409</v>
      </c>
      <c r="F210" s="37" t="s">
        <v>477</v>
      </c>
      <c r="G210" s="58">
        <v>43200</v>
      </c>
      <c r="H210" s="59">
        <v>0.63</v>
      </c>
      <c r="I210" s="58">
        <f t="shared" si="4"/>
        <v>68571</v>
      </c>
      <c r="J210" s="67"/>
      <c r="K210" s="68"/>
      <c r="L210" s="67"/>
    </row>
    <row r="211" s="37" customFormat="1" ht="12.75" spans="1:14">
      <c r="A211" s="54" t="s">
        <v>72</v>
      </c>
      <c r="B211" s="54" t="s">
        <v>407</v>
      </c>
      <c r="C211" s="54" t="s">
        <v>478</v>
      </c>
      <c r="D211" s="54" t="s">
        <v>152</v>
      </c>
      <c r="E211" s="54" t="s">
        <v>409</v>
      </c>
      <c r="F211" s="37" t="s">
        <v>479</v>
      </c>
      <c r="G211" s="58">
        <v>45375</v>
      </c>
      <c r="H211" s="59">
        <v>0.61</v>
      </c>
      <c r="I211" s="58">
        <f t="shared" si="4"/>
        <v>74385</v>
      </c>
      <c r="J211" s="67"/>
      <c r="K211" s="68"/>
      <c r="L211" s="67"/>
    </row>
    <row r="212" s="37" customFormat="1" ht="12.75" spans="1:14">
      <c r="A212" s="54" t="s">
        <v>72</v>
      </c>
      <c r="B212" s="54" t="s">
        <v>407</v>
      </c>
      <c r="C212" s="54" t="s">
        <v>480</v>
      </c>
      <c r="D212" s="54" t="s">
        <v>481</v>
      </c>
      <c r="E212" s="54" t="s">
        <v>409</v>
      </c>
      <c r="F212" s="37" t="s">
        <v>482</v>
      </c>
      <c r="G212" s="58">
        <v>42443</v>
      </c>
      <c r="H212" s="59">
        <v>0.6</v>
      </c>
      <c r="I212" s="58">
        <f t="shared" si="4"/>
        <v>70738</v>
      </c>
      <c r="J212" s="67"/>
      <c r="K212" s="68"/>
      <c r="L212" s="67"/>
    </row>
    <row r="213" s="37" customFormat="1" ht="12.75" spans="1:14">
      <c r="A213" s="37" t="s">
        <v>72</v>
      </c>
      <c r="B213" s="37" t="s">
        <v>407</v>
      </c>
      <c r="C213" s="37" t="s">
        <v>483</v>
      </c>
      <c r="D213" s="37" t="s">
        <v>161</v>
      </c>
      <c r="E213" s="37" t="s">
        <v>409</v>
      </c>
      <c r="F213" s="37" t="s">
        <v>484</v>
      </c>
      <c r="G213" s="58">
        <v>43636</v>
      </c>
      <c r="H213" s="59">
        <v>0.63</v>
      </c>
      <c r="I213" s="58">
        <f t="shared" si="4"/>
        <v>69263</v>
      </c>
      <c r="J213" s="67"/>
      <c r="K213" s="68"/>
      <c r="L213" s="67"/>
    </row>
    <row r="214" s="37" customFormat="1" ht="12.75" spans="1:14">
      <c r="A214" s="37" t="s">
        <v>72</v>
      </c>
      <c r="B214" s="37" t="s">
        <v>407</v>
      </c>
      <c r="C214" s="37" t="s">
        <v>485</v>
      </c>
      <c r="D214" s="37" t="s">
        <v>41</v>
      </c>
      <c r="E214" s="37" t="s">
        <v>409</v>
      </c>
      <c r="F214" s="37" t="s">
        <v>486</v>
      </c>
      <c r="G214" s="58">
        <v>42460</v>
      </c>
      <c r="H214" s="59">
        <v>0.6</v>
      </c>
      <c r="I214" s="58">
        <f t="shared" si="4"/>
        <v>70766</v>
      </c>
      <c r="J214" s="67"/>
      <c r="K214" s="68"/>
      <c r="L214" s="67"/>
    </row>
    <row r="215" s="54" customFormat="1" ht="12.75" spans="1:14">
      <c r="A215" s="54" t="s">
        <v>72</v>
      </c>
      <c r="B215" s="54" t="s">
        <v>407</v>
      </c>
      <c r="C215" s="54" t="s">
        <v>487</v>
      </c>
      <c r="D215" s="54" t="s">
        <v>166</v>
      </c>
      <c r="E215" s="54" t="s">
        <v>409</v>
      </c>
      <c r="F215" s="37" t="s">
        <v>488</v>
      </c>
      <c r="G215" s="58">
        <v>42765</v>
      </c>
      <c r="H215" s="59">
        <v>0.57</v>
      </c>
      <c r="I215" s="58">
        <f t="shared" si="4"/>
        <v>75026</v>
      </c>
      <c r="J215" s="69"/>
      <c r="K215" s="70"/>
      <c r="L215" s="69"/>
    </row>
    <row r="216" s="54" customFormat="1" ht="12.75" spans="1:14">
      <c r="A216" s="37" t="s">
        <v>72</v>
      </c>
      <c r="B216" s="37" t="s">
        <v>407</v>
      </c>
      <c r="C216" s="37" t="s">
        <v>489</v>
      </c>
      <c r="D216" s="37" t="s">
        <v>490</v>
      </c>
      <c r="E216" s="37" t="s">
        <v>409</v>
      </c>
      <c r="F216" s="37" t="s">
        <v>491</v>
      </c>
      <c r="G216" s="58">
        <v>42100</v>
      </c>
      <c r="H216" s="59">
        <v>0.62</v>
      </c>
      <c r="I216" s="58">
        <f t="shared" si="4"/>
        <v>67903</v>
      </c>
      <c r="J216" s="69"/>
      <c r="K216" s="70"/>
      <c r="L216" s="69"/>
    </row>
    <row r="217" s="54" customFormat="1" ht="12.75" spans="1:14">
      <c r="A217" s="54" t="s">
        <v>72</v>
      </c>
      <c r="B217" s="54" t="s">
        <v>407</v>
      </c>
      <c r="C217" s="54" t="s">
        <v>492</v>
      </c>
      <c r="D217" s="54" t="s">
        <v>178</v>
      </c>
      <c r="E217" s="54" t="s">
        <v>409</v>
      </c>
      <c r="F217" s="37" t="s">
        <v>493</v>
      </c>
      <c r="G217" s="58">
        <v>38750</v>
      </c>
      <c r="H217" s="59">
        <v>0.6</v>
      </c>
      <c r="I217" s="58">
        <f t="shared" si="4"/>
        <v>64583</v>
      </c>
      <c r="J217" s="69"/>
      <c r="K217" s="70"/>
      <c r="L217" s="69"/>
    </row>
    <row r="218" s="54" customFormat="1" ht="12.75" spans="1:14">
      <c r="A218" s="37" t="s">
        <v>72</v>
      </c>
      <c r="B218" s="37" t="s">
        <v>407</v>
      </c>
      <c r="C218" s="37" t="s">
        <v>494</v>
      </c>
      <c r="D218" s="37" t="s">
        <v>495</v>
      </c>
      <c r="E218" s="37" t="s">
        <v>409</v>
      </c>
      <c r="F218" s="37" t="s">
        <v>496</v>
      </c>
      <c r="G218" s="58">
        <v>44550</v>
      </c>
      <c r="H218" s="59">
        <v>0.6</v>
      </c>
      <c r="I218" s="58">
        <f t="shared" si="4"/>
        <v>74250</v>
      </c>
      <c r="J218" s="69"/>
      <c r="K218" s="70"/>
      <c r="L218" s="69"/>
    </row>
    <row r="219" s="37" customFormat="1" ht="12.75" spans="1:14">
      <c r="A219" s="54" t="s">
        <v>72</v>
      </c>
      <c r="B219" s="54" t="s">
        <v>407</v>
      </c>
      <c r="C219" s="54" t="s">
        <v>497</v>
      </c>
      <c r="D219" s="54" t="s">
        <v>172</v>
      </c>
      <c r="E219" s="54" t="s">
        <v>409</v>
      </c>
      <c r="F219" s="37" t="s">
        <v>498</v>
      </c>
      <c r="G219" s="58">
        <v>48740</v>
      </c>
      <c r="H219" s="59">
        <v>0.6</v>
      </c>
      <c r="I219" s="58">
        <f t="shared" si="4"/>
        <v>81233</v>
      </c>
      <c r="J219" s="67"/>
      <c r="K219" s="68"/>
      <c r="L219" s="67"/>
    </row>
    <row r="220" s="55" customFormat="1" ht="12.75" spans="1:14">
      <c r="A220" s="37" t="s">
        <v>72</v>
      </c>
      <c r="B220" s="37" t="s">
        <v>407</v>
      </c>
      <c r="C220" s="37" t="s">
        <v>499</v>
      </c>
      <c r="D220" s="37" t="s">
        <v>500</v>
      </c>
      <c r="E220" s="37" t="s">
        <v>409</v>
      </c>
      <c r="F220" s="37" t="s">
        <v>501</v>
      </c>
      <c r="G220" s="58">
        <v>41565</v>
      </c>
      <c r="H220" s="59">
        <v>0.6</v>
      </c>
      <c r="I220" s="58">
        <f t="shared" si="4"/>
        <v>69275</v>
      </c>
      <c r="J220" s="67"/>
      <c r="K220" s="68"/>
      <c r="L220" s="67"/>
      <c r="M220" s="37"/>
      <c r="N220" s="37"/>
    </row>
    <row r="221" s="37" customFormat="1" ht="12.75" spans="1:14">
      <c r="A221" s="37" t="s">
        <v>72</v>
      </c>
      <c r="B221" s="37" t="s">
        <v>407</v>
      </c>
      <c r="C221" s="37" t="s">
        <v>502</v>
      </c>
      <c r="D221" s="37" t="s">
        <v>503</v>
      </c>
      <c r="E221" s="37" t="s">
        <v>409</v>
      </c>
      <c r="F221" s="37" t="s">
        <v>504</v>
      </c>
      <c r="G221" s="58">
        <v>41865</v>
      </c>
      <c r="H221" s="59">
        <v>0.6</v>
      </c>
      <c r="I221" s="58">
        <f t="shared" si="4"/>
        <v>69775</v>
      </c>
      <c r="J221" s="67"/>
      <c r="K221" s="68"/>
      <c r="L221" s="67"/>
    </row>
    <row r="222" s="37" customFormat="1" ht="12.75" spans="1:14">
      <c r="A222" s="54" t="s">
        <v>72</v>
      </c>
      <c r="B222" s="54" t="s">
        <v>407</v>
      </c>
      <c r="C222" s="54" t="s">
        <v>505</v>
      </c>
      <c r="D222" s="54" t="s">
        <v>84</v>
      </c>
      <c r="E222" s="54" t="s">
        <v>409</v>
      </c>
      <c r="F222" s="37" t="s">
        <v>506</v>
      </c>
      <c r="G222" s="58">
        <v>46550</v>
      </c>
      <c r="H222" s="59">
        <v>0.6</v>
      </c>
      <c r="I222" s="58">
        <f t="shared" si="4"/>
        <v>77583</v>
      </c>
      <c r="J222" s="67"/>
      <c r="K222" s="68"/>
      <c r="L222" s="67"/>
    </row>
    <row r="223" s="37" customFormat="1" ht="12.75" spans="1:14">
      <c r="A223" s="37" t="s">
        <v>72</v>
      </c>
      <c r="B223" s="37" t="s">
        <v>407</v>
      </c>
      <c r="C223" s="37" t="s">
        <v>507</v>
      </c>
      <c r="D223" s="37" t="s">
        <v>198</v>
      </c>
      <c r="E223" s="37" t="s">
        <v>409</v>
      </c>
      <c r="F223" s="37" t="s">
        <v>508</v>
      </c>
      <c r="G223" s="58">
        <v>48230</v>
      </c>
      <c r="H223" s="59">
        <v>0.6</v>
      </c>
      <c r="I223" s="58">
        <f t="shared" si="4"/>
        <v>80383</v>
      </c>
      <c r="J223" s="67"/>
      <c r="K223" s="68"/>
      <c r="L223" s="67"/>
    </row>
    <row r="224" s="54" customFormat="1" ht="12.75" spans="1:14">
      <c r="A224" s="54" t="s">
        <v>72</v>
      </c>
      <c r="B224" s="54" t="s">
        <v>407</v>
      </c>
      <c r="C224" s="54" t="s">
        <v>509</v>
      </c>
      <c r="D224" s="54" t="s">
        <v>510</v>
      </c>
      <c r="E224" s="54" t="s">
        <v>409</v>
      </c>
      <c r="F224" s="37" t="s">
        <v>511</v>
      </c>
      <c r="G224" s="58">
        <v>48600</v>
      </c>
      <c r="H224" s="59">
        <v>0.64</v>
      </c>
      <c r="I224" s="58">
        <f t="shared" si="4"/>
        <v>75937</v>
      </c>
      <c r="J224" s="69"/>
      <c r="K224" s="70"/>
      <c r="L224" s="69"/>
    </row>
    <row r="225" s="54" customFormat="1" ht="12.75" spans="1:12">
      <c r="A225" s="37" t="s">
        <v>72</v>
      </c>
      <c r="B225" s="37" t="s">
        <v>407</v>
      </c>
      <c r="C225" s="37" t="s">
        <v>512</v>
      </c>
      <c r="D225" s="37" t="s">
        <v>10</v>
      </c>
      <c r="E225" s="37" t="s">
        <v>409</v>
      </c>
      <c r="F225" s="37" t="s">
        <v>513</v>
      </c>
      <c r="G225" s="58">
        <v>48200</v>
      </c>
      <c r="H225" s="59">
        <v>0.6</v>
      </c>
      <c r="I225" s="58">
        <f t="shared" si="4"/>
        <v>80333</v>
      </c>
      <c r="J225" s="69"/>
      <c r="K225" s="70"/>
      <c r="L225" s="69"/>
    </row>
    <row r="226" s="54" customFormat="1" ht="12.75" spans="1:12">
      <c r="A226" s="54" t="s">
        <v>72</v>
      </c>
      <c r="B226" s="54" t="s">
        <v>407</v>
      </c>
      <c r="C226" s="54" t="s">
        <v>514</v>
      </c>
      <c r="D226" s="54" t="s">
        <v>14</v>
      </c>
      <c r="E226" s="54" t="s">
        <v>409</v>
      </c>
      <c r="F226" s="37" t="s">
        <v>515</v>
      </c>
      <c r="G226" s="58">
        <v>48860</v>
      </c>
      <c r="H226" s="59">
        <v>0.6</v>
      </c>
      <c r="I226" s="58">
        <f t="shared" si="4"/>
        <v>81433</v>
      </c>
      <c r="J226" s="69"/>
      <c r="K226" s="70"/>
      <c r="L226" s="69"/>
    </row>
    <row r="227" s="54" customFormat="1" ht="12.75" spans="1:12">
      <c r="A227" s="37" t="s">
        <v>72</v>
      </c>
      <c r="B227" s="37" t="s">
        <v>407</v>
      </c>
      <c r="C227" s="37" t="s">
        <v>516</v>
      </c>
      <c r="D227" s="37" t="s">
        <v>517</v>
      </c>
      <c r="E227" s="37" t="s">
        <v>409</v>
      </c>
      <c r="F227" s="37" t="s">
        <v>518</v>
      </c>
      <c r="G227" s="58">
        <v>39905</v>
      </c>
      <c r="H227" s="59">
        <v>0.6</v>
      </c>
      <c r="I227" s="58">
        <f t="shared" si="4"/>
        <v>66508</v>
      </c>
      <c r="J227" s="69"/>
      <c r="K227" s="70"/>
      <c r="L227" s="69"/>
    </row>
    <row r="228" s="37" customFormat="1" ht="12.75" spans="1:12">
      <c r="A228" s="54" t="s">
        <v>72</v>
      </c>
      <c r="B228" s="54" t="s">
        <v>407</v>
      </c>
      <c r="C228" s="54" t="s">
        <v>519</v>
      </c>
      <c r="D228" s="54" t="s">
        <v>520</v>
      </c>
      <c r="E228" s="54" t="s">
        <v>409</v>
      </c>
      <c r="F228" s="37" t="s">
        <v>521</v>
      </c>
      <c r="G228" s="58">
        <v>39000</v>
      </c>
      <c r="H228" s="59">
        <v>0.6</v>
      </c>
      <c r="I228" s="58">
        <f t="shared" si="4"/>
        <v>65000</v>
      </c>
      <c r="J228" s="67"/>
      <c r="K228" s="68"/>
      <c r="L228" s="67"/>
    </row>
    <row r="229" s="37" customFormat="1" ht="12.75" spans="1:12">
      <c r="A229" s="37" t="s">
        <v>72</v>
      </c>
      <c r="B229" s="37" t="s">
        <v>407</v>
      </c>
      <c r="C229" s="37" t="s">
        <v>522</v>
      </c>
      <c r="D229" s="37" t="s">
        <v>523</v>
      </c>
      <c r="E229" s="37" t="s">
        <v>409</v>
      </c>
      <c r="F229" s="37" t="s">
        <v>524</v>
      </c>
      <c r="G229" s="58">
        <v>45960</v>
      </c>
      <c r="H229" s="59">
        <v>0.67</v>
      </c>
      <c r="I229" s="58">
        <f t="shared" si="4"/>
        <v>68597</v>
      </c>
      <c r="J229" s="67"/>
      <c r="K229" s="68"/>
      <c r="L229" s="67"/>
    </row>
    <row r="230" s="37" customFormat="1" ht="12.75" spans="1:12">
      <c r="A230" s="54" t="s">
        <v>72</v>
      </c>
      <c r="B230" s="54" t="s">
        <v>407</v>
      </c>
      <c r="C230" s="54" t="s">
        <v>525</v>
      </c>
      <c r="D230" s="54" t="s">
        <v>212</v>
      </c>
      <c r="E230" s="54" t="s">
        <v>409</v>
      </c>
      <c r="F230" s="37" t="s">
        <v>526</v>
      </c>
      <c r="G230" s="58">
        <v>40800</v>
      </c>
      <c r="H230" s="59">
        <v>0.6</v>
      </c>
      <c r="I230" s="58">
        <f t="shared" si="4"/>
        <v>68000</v>
      </c>
      <c r="J230" s="67"/>
      <c r="K230" s="68"/>
      <c r="L230" s="67"/>
    </row>
    <row r="231" s="37" customFormat="1" ht="12.75" spans="1:12">
      <c r="A231" s="37" t="s">
        <v>72</v>
      </c>
      <c r="B231" s="37" t="s">
        <v>407</v>
      </c>
      <c r="C231" s="37" t="s">
        <v>527</v>
      </c>
      <c r="D231" s="37" t="s">
        <v>206</v>
      </c>
      <c r="E231" s="37" t="s">
        <v>409</v>
      </c>
      <c r="F231" s="37" t="s">
        <v>528</v>
      </c>
      <c r="G231" s="58">
        <v>46660</v>
      </c>
      <c r="H231" s="59">
        <v>0.6</v>
      </c>
      <c r="I231" s="58">
        <f t="shared" si="4"/>
        <v>77766</v>
      </c>
      <c r="J231" s="67"/>
      <c r="K231" s="68"/>
      <c r="L231" s="67"/>
    </row>
    <row r="232" s="37" customFormat="1" ht="12.75" spans="1:12">
      <c r="A232" s="54" t="s">
        <v>72</v>
      </c>
      <c r="B232" s="54" t="s">
        <v>407</v>
      </c>
      <c r="C232" s="54" t="s">
        <v>529</v>
      </c>
      <c r="D232" s="54" t="s">
        <v>530</v>
      </c>
      <c r="E232" s="54" t="s">
        <v>409</v>
      </c>
      <c r="F232" s="37" t="s">
        <v>531</v>
      </c>
      <c r="G232" s="58">
        <v>39900</v>
      </c>
      <c r="H232" s="59">
        <v>0.6</v>
      </c>
      <c r="I232" s="58">
        <f t="shared" si="4"/>
        <v>66500</v>
      </c>
      <c r="J232" s="67"/>
      <c r="K232" s="68"/>
      <c r="L232" s="67"/>
    </row>
    <row r="233" s="54" customFormat="1" ht="12.75" spans="1:12">
      <c r="A233" s="37" t="s">
        <v>72</v>
      </c>
      <c r="B233" s="37" t="s">
        <v>407</v>
      </c>
      <c r="C233" s="37" t="s">
        <v>532</v>
      </c>
      <c r="D233" s="37" t="s">
        <v>44</v>
      </c>
      <c r="E233" s="37" t="s">
        <v>409</v>
      </c>
      <c r="F233" s="37" t="s">
        <v>533</v>
      </c>
      <c r="G233" s="58">
        <v>41065</v>
      </c>
      <c r="H233" s="59">
        <v>0.65</v>
      </c>
      <c r="I233" s="58">
        <f t="shared" si="4"/>
        <v>63176</v>
      </c>
      <c r="J233" s="69"/>
      <c r="K233" s="70"/>
      <c r="L233" s="69"/>
    </row>
    <row r="234" s="37" customFormat="1" ht="12.75" spans="1:12">
      <c r="A234" s="54" t="s">
        <v>72</v>
      </c>
      <c r="B234" s="54" t="s">
        <v>407</v>
      </c>
      <c r="C234" s="54" t="s">
        <v>534</v>
      </c>
      <c r="D234" s="54" t="s">
        <v>218</v>
      </c>
      <c r="E234" s="54" t="s">
        <v>409</v>
      </c>
      <c r="F234" s="37" t="s">
        <v>535</v>
      </c>
      <c r="G234" s="58">
        <v>45500</v>
      </c>
      <c r="H234" s="59">
        <v>0.62</v>
      </c>
      <c r="I234" s="58">
        <f t="shared" si="4"/>
        <v>73387</v>
      </c>
      <c r="J234" s="67"/>
      <c r="K234" s="68"/>
      <c r="L234" s="67"/>
    </row>
    <row r="235" s="37" customFormat="1" ht="12.75" spans="1:12">
      <c r="A235" s="37" t="s">
        <v>72</v>
      </c>
      <c r="B235" s="37" t="s">
        <v>407</v>
      </c>
      <c r="C235" s="37" t="s">
        <v>536</v>
      </c>
      <c r="D235" s="37" t="s">
        <v>224</v>
      </c>
      <c r="E235" s="37" t="s">
        <v>409</v>
      </c>
      <c r="F235" s="37" t="s">
        <v>537</v>
      </c>
      <c r="G235" s="58">
        <v>45500</v>
      </c>
      <c r="H235" s="59">
        <v>0.62</v>
      </c>
      <c r="I235" s="58">
        <f t="shared" si="4"/>
        <v>73387</v>
      </c>
      <c r="J235" s="67"/>
      <c r="K235" s="68"/>
      <c r="L235" s="67"/>
    </row>
    <row r="236" s="37" customFormat="1" ht="12.75" spans="1:12">
      <c r="A236" s="54" t="s">
        <v>72</v>
      </c>
      <c r="B236" s="54" t="s">
        <v>407</v>
      </c>
      <c r="C236" s="54" t="s">
        <v>538</v>
      </c>
      <c r="D236" s="54" t="s">
        <v>236</v>
      </c>
      <c r="E236" s="54" t="s">
        <v>409</v>
      </c>
      <c r="F236" s="37" t="s">
        <v>539</v>
      </c>
      <c r="G236" s="58">
        <v>45500</v>
      </c>
      <c r="H236" s="59">
        <v>0.62</v>
      </c>
      <c r="I236" s="58">
        <f t="shared" si="4"/>
        <v>73387</v>
      </c>
      <c r="J236" s="67"/>
      <c r="K236" s="68"/>
      <c r="L236" s="67"/>
    </row>
    <row r="237" s="37" customFormat="1" ht="12.75" spans="1:12">
      <c r="A237" s="54" t="s">
        <v>72</v>
      </c>
      <c r="B237" s="54" t="s">
        <v>407</v>
      </c>
      <c r="C237" s="54" t="s">
        <v>540</v>
      </c>
      <c r="D237" s="54" t="s">
        <v>541</v>
      </c>
      <c r="E237" s="54" t="s">
        <v>409</v>
      </c>
      <c r="F237" s="37" t="s">
        <v>542</v>
      </c>
      <c r="G237" s="58">
        <v>51700</v>
      </c>
      <c r="H237" s="59">
        <v>0.65</v>
      </c>
      <c r="I237" s="58">
        <f t="shared" si="4"/>
        <v>79538</v>
      </c>
      <c r="J237" s="67"/>
      <c r="K237" s="68"/>
      <c r="L237" s="67"/>
    </row>
    <row r="238" s="37" customFormat="1" ht="12.75" spans="1:12">
      <c r="A238" s="37" t="s">
        <v>72</v>
      </c>
      <c r="B238" s="37" t="s">
        <v>407</v>
      </c>
      <c r="C238" s="37" t="s">
        <v>543</v>
      </c>
      <c r="D238" s="37" t="s">
        <v>17</v>
      </c>
      <c r="E238" s="37" t="s">
        <v>277</v>
      </c>
      <c r="F238" s="37" t="s">
        <v>544</v>
      </c>
      <c r="G238" s="58">
        <v>46280.97</v>
      </c>
      <c r="H238" s="59">
        <v>0.62</v>
      </c>
      <c r="I238" s="58">
        <f t="shared" si="4"/>
        <v>74646</v>
      </c>
      <c r="J238" s="67"/>
      <c r="K238" s="68"/>
      <c r="L238" s="67"/>
    </row>
    <row r="239" s="54" customFormat="1" ht="12.75" spans="1:12">
      <c r="A239" s="37" t="s">
        <v>72</v>
      </c>
      <c r="B239" s="37" t="s">
        <v>407</v>
      </c>
      <c r="C239" s="37" t="s">
        <v>545</v>
      </c>
      <c r="D239" s="37" t="s">
        <v>26</v>
      </c>
      <c r="E239" s="37" t="s">
        <v>277</v>
      </c>
      <c r="F239" s="37" t="s">
        <v>546</v>
      </c>
      <c r="G239" s="58">
        <v>43570.9</v>
      </c>
      <c r="H239" s="59">
        <v>0.62</v>
      </c>
      <c r="I239" s="58">
        <f t="shared" si="4"/>
        <v>70275</v>
      </c>
      <c r="J239" s="69"/>
      <c r="K239" s="70"/>
      <c r="L239" s="69"/>
    </row>
    <row r="240" s="54" customFormat="1" ht="12.75" spans="1:12">
      <c r="A240" s="37" t="s">
        <v>72</v>
      </c>
      <c r="B240" s="37" t="s">
        <v>407</v>
      </c>
      <c r="C240" s="37" t="s">
        <v>547</v>
      </c>
      <c r="D240" s="37" t="s">
        <v>423</v>
      </c>
      <c r="E240" s="37" t="s">
        <v>277</v>
      </c>
      <c r="F240" s="37" t="s">
        <v>548</v>
      </c>
      <c r="G240" s="58">
        <v>22671</v>
      </c>
      <c r="H240" s="59">
        <v>0.55</v>
      </c>
      <c r="I240" s="58">
        <f t="shared" si="4"/>
        <v>41220</v>
      </c>
      <c r="J240" s="69"/>
      <c r="K240" s="70"/>
      <c r="L240" s="69"/>
    </row>
    <row r="241" s="54" customFormat="1" ht="12.75" spans="1:12">
      <c r="A241" s="37" t="s">
        <v>72</v>
      </c>
      <c r="B241" s="37" t="s">
        <v>407</v>
      </c>
      <c r="C241" s="37" t="s">
        <v>549</v>
      </c>
      <c r="D241" s="37" t="s">
        <v>38</v>
      </c>
      <c r="E241" s="37" t="s">
        <v>277</v>
      </c>
      <c r="F241" s="37" t="s">
        <v>550</v>
      </c>
      <c r="G241" s="58">
        <v>23631</v>
      </c>
      <c r="H241" s="59">
        <v>0.55</v>
      </c>
      <c r="I241" s="58">
        <f t="shared" si="4"/>
        <v>42965</v>
      </c>
      <c r="J241" s="69"/>
      <c r="K241" s="70"/>
      <c r="L241" s="69"/>
    </row>
    <row r="242" s="37" customFormat="1" ht="12.75" spans="1:12">
      <c r="A242" s="37" t="s">
        <v>72</v>
      </c>
      <c r="B242" s="37" t="s">
        <v>407</v>
      </c>
      <c r="C242" s="37" t="s">
        <v>551</v>
      </c>
      <c r="D242" s="37" t="s">
        <v>32</v>
      </c>
      <c r="E242" s="37" t="s">
        <v>277</v>
      </c>
      <c r="F242" s="37" t="s">
        <v>552</v>
      </c>
      <c r="G242" s="58">
        <v>50041.0148</v>
      </c>
      <c r="H242" s="59">
        <v>0.62</v>
      </c>
      <c r="I242" s="58">
        <f t="shared" si="4"/>
        <v>80711</v>
      </c>
      <c r="J242" s="67"/>
      <c r="K242" s="68"/>
      <c r="L242" s="67"/>
    </row>
    <row r="243" s="37" customFormat="1" ht="12.75" spans="1:12">
      <c r="A243" s="37" t="s">
        <v>72</v>
      </c>
      <c r="B243" s="37" t="s">
        <v>407</v>
      </c>
      <c r="C243" s="37" t="s">
        <v>553</v>
      </c>
      <c r="D243" s="37" t="s">
        <v>141</v>
      </c>
      <c r="E243" s="37" t="s">
        <v>277</v>
      </c>
      <c r="F243" s="37" t="s">
        <v>554</v>
      </c>
      <c r="G243" s="58">
        <v>48000.9676</v>
      </c>
      <c r="H243" s="59">
        <v>0.62</v>
      </c>
      <c r="I243" s="58">
        <f t="shared" si="4"/>
        <v>77420</v>
      </c>
      <c r="J243" s="67"/>
      <c r="K243" s="68"/>
      <c r="L243" s="67"/>
    </row>
    <row r="244" s="37" customFormat="1" ht="12.75" spans="1:12">
      <c r="A244" s="37" t="s">
        <v>72</v>
      </c>
      <c r="B244" s="37" t="s">
        <v>407</v>
      </c>
      <c r="C244" s="37" t="s">
        <v>555</v>
      </c>
      <c r="D244" s="37" t="s">
        <v>152</v>
      </c>
      <c r="E244" s="37" t="s">
        <v>277</v>
      </c>
      <c r="F244" s="37" t="s">
        <v>556</v>
      </c>
      <c r="G244" s="58">
        <v>17600</v>
      </c>
      <c r="H244" s="59">
        <v>0.55</v>
      </c>
      <c r="I244" s="58">
        <f t="shared" si="4"/>
        <v>32000</v>
      </c>
      <c r="J244" s="67"/>
      <c r="K244" s="68"/>
      <c r="L244" s="67"/>
    </row>
    <row r="245" s="37" customFormat="1" ht="12.75" spans="1:12">
      <c r="A245" s="37" t="s">
        <v>72</v>
      </c>
      <c r="B245" s="37" t="s">
        <v>407</v>
      </c>
      <c r="C245" s="37" t="s">
        <v>557</v>
      </c>
      <c r="D245" s="37" t="s">
        <v>41</v>
      </c>
      <c r="E245" s="37" t="s">
        <v>277</v>
      </c>
      <c r="F245" s="37" t="s">
        <v>558</v>
      </c>
      <c r="G245" s="58">
        <v>44680.8654</v>
      </c>
      <c r="H245" s="59">
        <v>0.62</v>
      </c>
      <c r="I245" s="58">
        <f t="shared" si="4"/>
        <v>72065</v>
      </c>
      <c r="J245" s="67"/>
      <c r="K245" s="68"/>
      <c r="L245" s="67"/>
    </row>
    <row r="246" s="37" customFormat="1" ht="12.75" spans="1:12">
      <c r="A246" s="37" t="s">
        <v>72</v>
      </c>
      <c r="B246" s="37" t="s">
        <v>407</v>
      </c>
      <c r="C246" s="37" t="s">
        <v>559</v>
      </c>
      <c r="D246" s="37" t="s">
        <v>172</v>
      </c>
      <c r="E246" s="37" t="s">
        <v>277</v>
      </c>
      <c r="F246" s="37" t="s">
        <v>560</v>
      </c>
      <c r="G246" s="58">
        <v>25346</v>
      </c>
      <c r="H246" s="59">
        <v>0.55</v>
      </c>
      <c r="I246" s="58">
        <f t="shared" si="4"/>
        <v>46083</v>
      </c>
      <c r="J246" s="67"/>
      <c r="K246" s="68"/>
      <c r="L246" s="67"/>
    </row>
    <row r="247" s="54" customFormat="1" ht="12.75" spans="1:12">
      <c r="A247" s="37" t="s">
        <v>72</v>
      </c>
      <c r="B247" s="37" t="s">
        <v>407</v>
      </c>
      <c r="C247" s="37" t="s">
        <v>561</v>
      </c>
      <c r="D247" s="37" t="s">
        <v>44</v>
      </c>
      <c r="E247" s="37" t="s">
        <v>277</v>
      </c>
      <c r="F247" s="37" t="s">
        <v>562</v>
      </c>
      <c r="G247" s="58">
        <v>42705.872</v>
      </c>
      <c r="H247" s="59">
        <v>0.62</v>
      </c>
      <c r="I247" s="58">
        <f t="shared" si="4"/>
        <v>68880</v>
      </c>
      <c r="J247" s="69"/>
      <c r="K247" s="70"/>
      <c r="L247" s="69"/>
    </row>
    <row r="248" s="54" customFormat="1" ht="12.75" spans="1:12">
      <c r="A248" s="37" t="s">
        <v>72</v>
      </c>
      <c r="B248" s="37" t="s">
        <v>407</v>
      </c>
      <c r="C248" s="37" t="s">
        <v>563</v>
      </c>
      <c r="D248" s="37" t="s">
        <v>206</v>
      </c>
      <c r="E248" s="37" t="s">
        <v>277</v>
      </c>
      <c r="F248" s="37" t="s">
        <v>564</v>
      </c>
      <c r="G248" s="58">
        <v>48520.994</v>
      </c>
      <c r="H248" s="59">
        <v>0.62</v>
      </c>
      <c r="I248" s="58">
        <f t="shared" si="4"/>
        <v>78259</v>
      </c>
      <c r="J248" s="69"/>
      <c r="K248" s="70"/>
      <c r="L248" s="69"/>
    </row>
    <row r="249" s="37" customFormat="1" ht="12.75" spans="1:12">
      <c r="A249" s="37" t="s">
        <v>72</v>
      </c>
      <c r="B249" s="37" t="s">
        <v>407</v>
      </c>
      <c r="C249" s="37" t="s">
        <v>565</v>
      </c>
      <c r="D249" s="37" t="s">
        <v>523</v>
      </c>
      <c r="E249" s="37" t="s">
        <v>277</v>
      </c>
      <c r="F249" s="37" t="s">
        <v>566</v>
      </c>
      <c r="G249" s="58">
        <v>47801.029</v>
      </c>
      <c r="H249" s="59">
        <v>0.62</v>
      </c>
      <c r="I249" s="58">
        <f t="shared" si="4"/>
        <v>77098</v>
      </c>
      <c r="J249" s="67"/>
      <c r="K249" s="68"/>
      <c r="L249" s="67"/>
    </row>
    <row r="250" s="37" customFormat="1" ht="12.75" spans="1:12">
      <c r="A250" s="37" t="s">
        <v>72</v>
      </c>
      <c r="B250" s="37" t="s">
        <v>407</v>
      </c>
      <c r="C250" s="37" t="s">
        <v>567</v>
      </c>
      <c r="D250" s="37" t="s">
        <v>568</v>
      </c>
      <c r="E250" s="37" t="s">
        <v>277</v>
      </c>
      <c r="F250" s="37" t="s">
        <v>569</v>
      </c>
      <c r="G250" s="58">
        <v>25271</v>
      </c>
      <c r="H250" s="59">
        <v>0.55</v>
      </c>
      <c r="I250" s="58">
        <f t="shared" si="4"/>
        <v>45947</v>
      </c>
      <c r="J250" s="67"/>
      <c r="K250" s="68"/>
      <c r="L250" s="67"/>
    </row>
    <row r="251" s="37" customFormat="1" ht="12.75" spans="1:12">
      <c r="A251" s="37" t="s">
        <v>72</v>
      </c>
      <c r="B251" s="37" t="s">
        <v>407</v>
      </c>
      <c r="C251" s="37" t="s">
        <v>570</v>
      </c>
      <c r="D251" s="37" t="s">
        <v>449</v>
      </c>
      <c r="E251" s="37" t="s">
        <v>277</v>
      </c>
      <c r="F251" s="37" t="s">
        <v>571</v>
      </c>
      <c r="G251" s="58">
        <v>46800.931</v>
      </c>
      <c r="H251" s="59">
        <v>0.62</v>
      </c>
      <c r="I251" s="58">
        <f t="shared" si="4"/>
        <v>75485</v>
      </c>
      <c r="J251" s="67"/>
      <c r="K251" s="68"/>
      <c r="L251" s="67"/>
    </row>
    <row r="252" s="37" customFormat="1" ht="12.75" spans="1:12">
      <c r="A252" s="37" t="s">
        <v>72</v>
      </c>
      <c r="B252" s="37" t="s">
        <v>407</v>
      </c>
      <c r="C252" s="37" t="s">
        <v>572</v>
      </c>
      <c r="D252" s="37" t="s">
        <v>490</v>
      </c>
      <c r="E252" s="37" t="s">
        <v>277</v>
      </c>
      <c r="F252" s="37" t="s">
        <v>573</v>
      </c>
      <c r="G252" s="58">
        <v>43780.8876</v>
      </c>
      <c r="H252" s="59">
        <v>0.62</v>
      </c>
      <c r="I252" s="58">
        <f t="shared" si="4"/>
        <v>70614</v>
      </c>
      <c r="J252" s="67"/>
      <c r="K252" s="68"/>
      <c r="L252" s="67"/>
    </row>
    <row r="253" s="37" customFormat="1" ht="12.75" spans="1:12">
      <c r="A253" s="37" t="s">
        <v>72</v>
      </c>
      <c r="B253" s="37" t="s">
        <v>407</v>
      </c>
      <c r="C253" s="37" t="s">
        <v>574</v>
      </c>
      <c r="D253" s="37" t="s">
        <v>29</v>
      </c>
      <c r="E253" s="37" t="s">
        <v>277</v>
      </c>
      <c r="F253" s="37" t="s">
        <v>575</v>
      </c>
      <c r="G253" s="58">
        <v>45341.032</v>
      </c>
      <c r="H253" s="59">
        <v>0.62</v>
      </c>
      <c r="I253" s="58">
        <f t="shared" si="4"/>
        <v>73130</v>
      </c>
      <c r="J253" s="67"/>
      <c r="K253" s="68"/>
      <c r="L253" s="67"/>
    </row>
    <row r="254" s="54" customFormat="1" ht="12.75" spans="1:12">
      <c r="A254" s="37" t="s">
        <v>72</v>
      </c>
      <c r="B254" s="37" t="s">
        <v>407</v>
      </c>
      <c r="C254" s="37" t="s">
        <v>576</v>
      </c>
      <c r="D254" s="37" t="s">
        <v>29</v>
      </c>
      <c r="E254" s="37" t="s">
        <v>577</v>
      </c>
      <c r="F254" s="37" t="s">
        <v>578</v>
      </c>
      <c r="G254" s="58">
        <v>62250</v>
      </c>
      <c r="H254" s="59">
        <v>0.62</v>
      </c>
      <c r="I254" s="58">
        <f t="shared" si="4"/>
        <v>100403</v>
      </c>
      <c r="J254" s="69"/>
      <c r="K254" s="70"/>
      <c r="L254" s="69"/>
    </row>
    <row r="255" s="54" customFormat="1" ht="12.75" spans="1:12">
      <c r="A255" s="37" t="s">
        <v>72</v>
      </c>
      <c r="B255" s="37" t="s">
        <v>407</v>
      </c>
      <c r="C255" s="37" t="s">
        <v>579</v>
      </c>
      <c r="D255" s="37" t="s">
        <v>32</v>
      </c>
      <c r="E255" s="37" t="s">
        <v>577</v>
      </c>
      <c r="F255" s="37" t="s">
        <v>580</v>
      </c>
      <c r="G255" s="58">
        <v>58535</v>
      </c>
      <c r="H255" s="59">
        <v>0.62</v>
      </c>
      <c r="I255" s="58">
        <f t="shared" si="4"/>
        <v>94411</v>
      </c>
      <c r="J255" s="69"/>
      <c r="K255" s="70"/>
      <c r="L255" s="69"/>
    </row>
    <row r="256" s="54" customFormat="1" ht="12.75" spans="1:12">
      <c r="A256" s="37" t="s">
        <v>72</v>
      </c>
      <c r="B256" s="37" t="s">
        <v>407</v>
      </c>
      <c r="C256" s="37" t="s">
        <v>581</v>
      </c>
      <c r="D256" s="37" t="s">
        <v>38</v>
      </c>
      <c r="E256" s="37" t="s">
        <v>577</v>
      </c>
      <c r="F256" s="37" t="s">
        <v>582</v>
      </c>
      <c r="G256" s="58">
        <v>54750</v>
      </c>
      <c r="H256" s="59">
        <v>0.62</v>
      </c>
      <c r="I256" s="58">
        <f t="shared" si="4"/>
        <v>88306</v>
      </c>
      <c r="J256" s="69"/>
      <c r="K256" s="70"/>
      <c r="L256" s="69"/>
    </row>
    <row r="257" s="37" customFormat="1" ht="12.75" spans="1:13">
      <c r="A257" s="37" t="s">
        <v>72</v>
      </c>
      <c r="B257" s="37" t="s">
        <v>407</v>
      </c>
      <c r="C257" s="37" t="s">
        <v>583</v>
      </c>
      <c r="D257" s="37" t="s">
        <v>35</v>
      </c>
      <c r="E257" s="37" t="s">
        <v>577</v>
      </c>
      <c r="F257" s="37" t="s">
        <v>584</v>
      </c>
      <c r="G257" s="58">
        <v>57750</v>
      </c>
      <c r="H257" s="59">
        <v>0.62</v>
      </c>
      <c r="I257" s="58">
        <f t="shared" si="4"/>
        <v>93145</v>
      </c>
      <c r="J257" s="67"/>
      <c r="K257" s="68"/>
      <c r="L257" s="67"/>
    </row>
    <row r="258" s="37" customFormat="1" ht="12.75" spans="1:13">
      <c r="A258" s="37" t="s">
        <v>72</v>
      </c>
      <c r="B258" s="37" t="s">
        <v>407</v>
      </c>
      <c r="C258" s="37" t="s">
        <v>585</v>
      </c>
      <c r="D258" s="37" t="s">
        <v>41</v>
      </c>
      <c r="E258" s="37" t="s">
        <v>577</v>
      </c>
      <c r="F258" s="37" t="s">
        <v>586</v>
      </c>
      <c r="G258" s="58">
        <v>50550</v>
      </c>
      <c r="H258" s="59">
        <v>0.62</v>
      </c>
      <c r="I258" s="58">
        <f t="shared" ref="I258:I321" si="5">ROUNDDOWN(G258/H258,0)</f>
        <v>81532</v>
      </c>
      <c r="J258" s="67"/>
      <c r="K258" s="68"/>
      <c r="L258" s="67"/>
    </row>
    <row r="259" s="37" customFormat="1" ht="12.75" spans="1:13">
      <c r="A259" s="37" t="s">
        <v>72</v>
      </c>
      <c r="B259" s="37" t="s">
        <v>407</v>
      </c>
      <c r="C259" s="37" t="s">
        <v>587</v>
      </c>
      <c r="D259" s="37" t="s">
        <v>495</v>
      </c>
      <c r="E259" s="37" t="s">
        <v>577</v>
      </c>
      <c r="F259" s="37" t="s">
        <v>588</v>
      </c>
      <c r="G259" s="58">
        <v>51800</v>
      </c>
      <c r="H259" s="59">
        <v>0.62</v>
      </c>
      <c r="I259" s="58">
        <f t="shared" si="5"/>
        <v>83548</v>
      </c>
      <c r="J259" s="67"/>
      <c r="K259" s="68"/>
      <c r="L259" s="67"/>
    </row>
    <row r="260" s="37" customFormat="1" ht="12.75" spans="1:13">
      <c r="A260" s="37" t="s">
        <v>72</v>
      </c>
      <c r="B260" s="37" t="s">
        <v>407</v>
      </c>
      <c r="C260" s="37" t="s">
        <v>589</v>
      </c>
      <c r="D260" s="37" t="s">
        <v>26</v>
      </c>
      <c r="E260" s="37" t="s">
        <v>577</v>
      </c>
      <c r="F260" s="37" t="s">
        <v>590</v>
      </c>
      <c r="G260" s="58">
        <v>56000</v>
      </c>
      <c r="H260" s="59">
        <v>0.62</v>
      </c>
      <c r="I260" s="58">
        <f t="shared" si="5"/>
        <v>90322</v>
      </c>
      <c r="J260" s="67"/>
      <c r="K260" s="68"/>
      <c r="L260" s="67"/>
    </row>
    <row r="261" s="37" customFormat="1" ht="12.75" spans="1:13">
      <c r="A261" s="37" t="s">
        <v>72</v>
      </c>
      <c r="B261" s="37" t="s">
        <v>407</v>
      </c>
      <c r="C261" s="37" t="s">
        <v>591</v>
      </c>
      <c r="D261" s="37" t="s">
        <v>23</v>
      </c>
      <c r="E261" s="37" t="s">
        <v>577</v>
      </c>
      <c r="F261" s="37" t="s">
        <v>592</v>
      </c>
      <c r="G261" s="58">
        <v>57800</v>
      </c>
      <c r="H261" s="59">
        <v>0.62</v>
      </c>
      <c r="I261" s="58">
        <f t="shared" si="5"/>
        <v>93225</v>
      </c>
      <c r="J261" s="67"/>
      <c r="K261" s="68"/>
      <c r="L261" s="67"/>
    </row>
    <row r="262" s="54" customFormat="1" ht="12.75" spans="1:13">
      <c r="A262" s="37" t="s">
        <v>72</v>
      </c>
      <c r="B262" s="37" t="s">
        <v>407</v>
      </c>
      <c r="C262" s="37" t="s">
        <v>593</v>
      </c>
      <c r="D262" s="37" t="s">
        <v>17</v>
      </c>
      <c r="E262" s="37" t="s">
        <v>577</v>
      </c>
      <c r="F262" s="37" t="s">
        <v>594</v>
      </c>
      <c r="G262" s="58">
        <v>55500</v>
      </c>
      <c r="H262" s="59">
        <v>0.62</v>
      </c>
      <c r="I262" s="58">
        <f t="shared" si="5"/>
        <v>89516</v>
      </c>
      <c r="J262" s="69"/>
      <c r="K262" s="70"/>
      <c r="L262" s="69"/>
    </row>
    <row r="263" s="54" customFormat="1" ht="12.75" spans="1:13">
      <c r="A263" s="37" t="s">
        <v>72</v>
      </c>
      <c r="B263" s="37" t="s">
        <v>407</v>
      </c>
      <c r="C263" s="37" t="s">
        <v>595</v>
      </c>
      <c r="D263" s="37" t="s">
        <v>10</v>
      </c>
      <c r="E263" s="37" t="s">
        <v>577</v>
      </c>
      <c r="F263" s="37" t="s">
        <v>596</v>
      </c>
      <c r="G263" s="58">
        <v>65975</v>
      </c>
      <c r="H263" s="59">
        <v>0.62</v>
      </c>
      <c r="I263" s="58">
        <f t="shared" si="5"/>
        <v>106411</v>
      </c>
      <c r="J263" s="69"/>
      <c r="K263" s="70"/>
      <c r="L263" s="69"/>
    </row>
    <row r="264" s="54" customFormat="1" ht="12.75" spans="1:13">
      <c r="A264" s="37" t="s">
        <v>72</v>
      </c>
      <c r="B264" s="37" t="s">
        <v>407</v>
      </c>
      <c r="C264" s="37" t="s">
        <v>597</v>
      </c>
      <c r="D264" s="37" t="s">
        <v>212</v>
      </c>
      <c r="E264" s="37" t="s">
        <v>577</v>
      </c>
      <c r="F264" s="37" t="s">
        <v>598</v>
      </c>
      <c r="G264" s="58">
        <v>58500</v>
      </c>
      <c r="H264" s="59">
        <v>0.62</v>
      </c>
      <c r="I264" s="58">
        <f t="shared" si="5"/>
        <v>94354</v>
      </c>
      <c r="J264" s="69"/>
      <c r="K264" s="70"/>
      <c r="L264" s="69"/>
    </row>
    <row r="265" s="54" customFormat="1" ht="12.75" spans="1:13">
      <c r="A265" s="37" t="s">
        <v>72</v>
      </c>
      <c r="B265" s="37" t="s">
        <v>407</v>
      </c>
      <c r="C265" s="37" t="s">
        <v>599</v>
      </c>
      <c r="D265" s="37" t="s">
        <v>206</v>
      </c>
      <c r="E265" s="37" t="s">
        <v>577</v>
      </c>
      <c r="F265" s="37" t="s">
        <v>600</v>
      </c>
      <c r="G265" s="58">
        <v>48850</v>
      </c>
      <c r="H265" s="59">
        <v>0.62</v>
      </c>
      <c r="I265" s="58">
        <f t="shared" si="5"/>
        <v>78790</v>
      </c>
      <c r="J265" s="69"/>
      <c r="K265" s="70"/>
      <c r="L265" s="69"/>
    </row>
    <row r="266" s="37" customFormat="1" ht="12.75" spans="1:13">
      <c r="A266" s="37" t="s">
        <v>72</v>
      </c>
      <c r="B266" s="37" t="s">
        <v>8</v>
      </c>
      <c r="C266" s="37" t="s">
        <v>601</v>
      </c>
      <c r="D266" s="37" t="s">
        <v>17</v>
      </c>
      <c r="E266" s="37" t="s">
        <v>602</v>
      </c>
      <c r="F266" s="37" t="s">
        <v>603</v>
      </c>
      <c r="G266" s="58">
        <v>164200</v>
      </c>
      <c r="H266" s="59">
        <v>3.5</v>
      </c>
      <c r="I266" s="58">
        <f t="shared" si="5"/>
        <v>46914</v>
      </c>
      <c r="J266" s="67"/>
      <c r="K266" s="68"/>
      <c r="L266" s="67"/>
    </row>
    <row r="267" s="37" customFormat="1" ht="12.75" spans="1:13">
      <c r="A267" s="37" t="s">
        <v>72</v>
      </c>
      <c r="B267" s="37" t="s">
        <v>8</v>
      </c>
      <c r="C267" s="37" t="s">
        <v>604</v>
      </c>
      <c r="D267" s="37" t="s">
        <v>23</v>
      </c>
      <c r="E267" s="37" t="s">
        <v>602</v>
      </c>
      <c r="F267" s="37" t="s">
        <v>605</v>
      </c>
      <c r="G267" s="58">
        <v>159200</v>
      </c>
      <c r="H267" s="59">
        <v>3.5</v>
      </c>
      <c r="I267" s="58">
        <f t="shared" si="5"/>
        <v>45485</v>
      </c>
      <c r="J267" s="67"/>
      <c r="K267" s="68"/>
      <c r="L267" s="67"/>
    </row>
    <row r="268" s="37" customFormat="1" ht="12.75" spans="1:13">
      <c r="A268" s="37" t="s">
        <v>72</v>
      </c>
      <c r="B268" s="37" t="s">
        <v>8</v>
      </c>
      <c r="C268" s="37" t="s">
        <v>606</v>
      </c>
      <c r="D268" s="37" t="s">
        <v>26</v>
      </c>
      <c r="E268" s="37" t="s">
        <v>602</v>
      </c>
      <c r="F268" s="37" t="s">
        <v>607</v>
      </c>
      <c r="G268" s="58">
        <v>167500</v>
      </c>
      <c r="H268" s="59">
        <v>3.5</v>
      </c>
      <c r="I268" s="58">
        <f t="shared" si="5"/>
        <v>47857</v>
      </c>
      <c r="J268" s="67"/>
      <c r="K268" s="68"/>
      <c r="L268" s="67"/>
    </row>
    <row r="269" s="37" customFormat="1" ht="12.75" spans="1:13">
      <c r="A269" s="37" t="s">
        <v>72</v>
      </c>
      <c r="B269" s="37" t="s">
        <v>8</v>
      </c>
      <c r="C269" s="37" t="s">
        <v>608</v>
      </c>
      <c r="D269" s="37" t="s">
        <v>29</v>
      </c>
      <c r="E269" s="37" t="s">
        <v>602</v>
      </c>
      <c r="F269" s="37" t="s">
        <v>609</v>
      </c>
      <c r="G269" s="58">
        <v>168150</v>
      </c>
      <c r="H269" s="59">
        <v>3.5</v>
      </c>
      <c r="I269" s="58">
        <f t="shared" si="5"/>
        <v>48042</v>
      </c>
      <c r="J269" s="67"/>
      <c r="K269" s="68"/>
      <c r="L269" s="67"/>
      <c r="M269" s="72"/>
    </row>
    <row r="270" s="37" customFormat="1" ht="12.75" spans="1:13">
      <c r="A270" s="37" t="s">
        <v>72</v>
      </c>
      <c r="B270" s="37" t="s">
        <v>8</v>
      </c>
      <c r="C270" s="37" t="s">
        <v>610</v>
      </c>
      <c r="D270" s="37" t="s">
        <v>32</v>
      </c>
      <c r="E270" s="37" t="s">
        <v>602</v>
      </c>
      <c r="F270" s="37" t="s">
        <v>611</v>
      </c>
      <c r="G270" s="58">
        <v>167100</v>
      </c>
      <c r="H270" s="59">
        <v>3.5</v>
      </c>
      <c r="I270" s="58">
        <f t="shared" si="5"/>
        <v>47742</v>
      </c>
      <c r="J270" s="67"/>
      <c r="K270" s="68"/>
      <c r="L270" s="67"/>
    </row>
    <row r="271" s="54" customFormat="1" ht="12.75" spans="1:13">
      <c r="A271" s="37" t="s">
        <v>72</v>
      </c>
      <c r="B271" s="37" t="s">
        <v>8</v>
      </c>
      <c r="C271" s="37" t="s">
        <v>612</v>
      </c>
      <c r="D271" s="37" t="s">
        <v>136</v>
      </c>
      <c r="E271" s="37" t="s">
        <v>602</v>
      </c>
      <c r="F271" s="37" t="s">
        <v>613</v>
      </c>
      <c r="G271" s="58">
        <v>170800</v>
      </c>
      <c r="H271" s="59">
        <v>3.5</v>
      </c>
      <c r="I271" s="58">
        <f t="shared" si="5"/>
        <v>48800</v>
      </c>
      <c r="J271" s="69"/>
      <c r="K271" s="70"/>
      <c r="L271" s="69"/>
    </row>
    <row r="272" s="54" customFormat="1" ht="12.75" spans="1:13">
      <c r="A272" s="37" t="s">
        <v>72</v>
      </c>
      <c r="B272" s="37" t="s">
        <v>8</v>
      </c>
      <c r="C272" s="37" t="s">
        <v>614</v>
      </c>
      <c r="D272" s="37" t="s">
        <v>35</v>
      </c>
      <c r="E272" s="37" t="s">
        <v>602</v>
      </c>
      <c r="F272" s="37" t="s">
        <v>615</v>
      </c>
      <c r="G272" s="58">
        <v>168500</v>
      </c>
      <c r="H272" s="59">
        <v>3.58</v>
      </c>
      <c r="I272" s="58">
        <f t="shared" si="5"/>
        <v>47067</v>
      </c>
      <c r="J272" s="69"/>
      <c r="K272" s="70"/>
      <c r="L272" s="69"/>
    </row>
    <row r="273" s="54" customFormat="1" ht="12.75" spans="1:12">
      <c r="A273" s="37" t="s">
        <v>72</v>
      </c>
      <c r="B273" s="37" t="s">
        <v>8</v>
      </c>
      <c r="C273" s="37" t="s">
        <v>616</v>
      </c>
      <c r="D273" s="37" t="s">
        <v>38</v>
      </c>
      <c r="E273" s="37" t="s">
        <v>602</v>
      </c>
      <c r="F273" s="37" t="s">
        <v>617</v>
      </c>
      <c r="G273" s="58">
        <v>166700</v>
      </c>
      <c r="H273" s="59">
        <v>3.5</v>
      </c>
      <c r="I273" s="58">
        <f t="shared" si="5"/>
        <v>47628</v>
      </c>
      <c r="J273" s="69"/>
      <c r="K273" s="70"/>
      <c r="L273" s="69"/>
    </row>
    <row r="274" s="37" customFormat="1" ht="12.75" spans="1:12">
      <c r="A274" s="37" t="s">
        <v>72</v>
      </c>
      <c r="B274" s="37" t="s">
        <v>8</v>
      </c>
      <c r="C274" s="37" t="s">
        <v>618</v>
      </c>
      <c r="D274" s="37" t="s">
        <v>41</v>
      </c>
      <c r="E274" s="37" t="s">
        <v>602</v>
      </c>
      <c r="F274" s="37" t="s">
        <v>619</v>
      </c>
      <c r="G274" s="58">
        <v>158960</v>
      </c>
      <c r="H274" s="59">
        <v>3.5</v>
      </c>
      <c r="I274" s="58">
        <f t="shared" si="5"/>
        <v>45417</v>
      </c>
      <c r="J274" s="67"/>
      <c r="K274" s="68"/>
      <c r="L274" s="67"/>
    </row>
    <row r="275" s="37" customFormat="1" ht="12.75" spans="1:12">
      <c r="A275" s="37" t="s">
        <v>72</v>
      </c>
      <c r="B275" s="37" t="s">
        <v>8</v>
      </c>
      <c r="C275" s="37" t="s">
        <v>620</v>
      </c>
      <c r="D275" s="37" t="s">
        <v>172</v>
      </c>
      <c r="E275" s="37" t="s">
        <v>602</v>
      </c>
      <c r="F275" s="37" t="s">
        <v>621</v>
      </c>
      <c r="G275" s="58">
        <v>167860</v>
      </c>
      <c r="H275" s="59">
        <v>3.5</v>
      </c>
      <c r="I275" s="58">
        <f t="shared" si="5"/>
        <v>47960</v>
      </c>
      <c r="J275" s="67"/>
      <c r="K275" s="68"/>
      <c r="L275" s="67"/>
    </row>
    <row r="276" s="37" customFormat="1" ht="12.75" spans="1:12">
      <c r="A276" s="37" t="s">
        <v>72</v>
      </c>
      <c r="B276" s="37" t="s">
        <v>8</v>
      </c>
      <c r="C276" s="37" t="s">
        <v>622</v>
      </c>
      <c r="D276" s="37" t="s">
        <v>10</v>
      </c>
      <c r="E276" s="37" t="s">
        <v>602</v>
      </c>
      <c r="F276" s="37" t="s">
        <v>623</v>
      </c>
      <c r="G276" s="58">
        <v>168700</v>
      </c>
      <c r="H276" s="59">
        <v>3.8</v>
      </c>
      <c r="I276" s="58">
        <f t="shared" si="5"/>
        <v>44394</v>
      </c>
      <c r="J276" s="67"/>
      <c r="K276" s="68"/>
      <c r="L276" s="67"/>
    </row>
    <row r="277" s="37" customFormat="1" ht="12.75" spans="1:12">
      <c r="A277" s="37" t="s">
        <v>72</v>
      </c>
      <c r="B277" s="37" t="s">
        <v>8</v>
      </c>
      <c r="C277" s="37" t="s">
        <v>624</v>
      </c>
      <c r="D277" s="37" t="s">
        <v>44</v>
      </c>
      <c r="E277" s="37" t="s">
        <v>602</v>
      </c>
      <c r="F277" s="37" t="s">
        <v>625</v>
      </c>
      <c r="G277" s="58">
        <v>171500</v>
      </c>
      <c r="H277" s="59">
        <v>3.5</v>
      </c>
      <c r="I277" s="58">
        <f t="shared" si="5"/>
        <v>49000</v>
      </c>
      <c r="J277" s="67"/>
      <c r="K277" s="68"/>
      <c r="L277" s="67"/>
    </row>
    <row r="278" s="37" customFormat="1" ht="12.75" spans="1:12">
      <c r="A278" s="37" t="s">
        <v>72</v>
      </c>
      <c r="B278" s="37" t="s">
        <v>8</v>
      </c>
      <c r="C278" s="37" t="s">
        <v>626</v>
      </c>
      <c r="D278" s="37" t="s">
        <v>14</v>
      </c>
      <c r="E278" s="37" t="s">
        <v>602</v>
      </c>
      <c r="F278" s="37" t="s">
        <v>627</v>
      </c>
      <c r="G278" s="58">
        <v>175860</v>
      </c>
      <c r="H278" s="59">
        <v>3.5</v>
      </c>
      <c r="I278" s="58">
        <f t="shared" si="5"/>
        <v>50245</v>
      </c>
      <c r="J278" s="67"/>
      <c r="K278" s="68"/>
      <c r="L278" s="67"/>
    </row>
    <row r="279" s="54" customFormat="1" ht="12.75" spans="1:12">
      <c r="A279" s="37" t="s">
        <v>72</v>
      </c>
      <c r="B279" s="37" t="s">
        <v>8</v>
      </c>
      <c r="C279" s="37" t="s">
        <v>628</v>
      </c>
      <c r="D279" s="37" t="s">
        <v>568</v>
      </c>
      <c r="E279" s="37" t="s">
        <v>602</v>
      </c>
      <c r="F279" s="37" t="s">
        <v>629</v>
      </c>
      <c r="G279" s="58">
        <v>164500</v>
      </c>
      <c r="H279" s="59">
        <v>3.5</v>
      </c>
      <c r="I279" s="58">
        <f t="shared" si="5"/>
        <v>47000</v>
      </c>
      <c r="J279" s="69"/>
      <c r="K279" s="70"/>
      <c r="L279" s="69"/>
    </row>
    <row r="280" s="54" customFormat="1" ht="12.75" spans="1:12">
      <c r="A280" s="37" t="s">
        <v>72</v>
      </c>
      <c r="B280" s="37" t="s">
        <v>8</v>
      </c>
      <c r="C280" s="37" t="s">
        <v>630</v>
      </c>
      <c r="D280" s="37" t="s">
        <v>98</v>
      </c>
      <c r="E280" s="37" t="s">
        <v>602</v>
      </c>
      <c r="F280" s="37" t="s">
        <v>631</v>
      </c>
      <c r="G280" s="58">
        <v>164200</v>
      </c>
      <c r="H280" s="59">
        <v>3.5</v>
      </c>
      <c r="I280" s="58">
        <f t="shared" si="5"/>
        <v>46914</v>
      </c>
      <c r="J280" s="69"/>
      <c r="K280" s="70"/>
      <c r="L280" s="69"/>
    </row>
    <row r="281" s="54" customFormat="1" ht="12.75" spans="1:12">
      <c r="A281" s="37" t="s">
        <v>72</v>
      </c>
      <c r="B281" s="37" t="s">
        <v>8</v>
      </c>
      <c r="C281" s="37" t="s">
        <v>632</v>
      </c>
      <c r="D281" s="37" t="s">
        <v>87</v>
      </c>
      <c r="E281" s="37" t="s">
        <v>602</v>
      </c>
      <c r="F281" s="37" t="s">
        <v>633</v>
      </c>
      <c r="G281" s="58">
        <v>163100</v>
      </c>
      <c r="H281" s="59">
        <v>3.5</v>
      </c>
      <c r="I281" s="58">
        <f t="shared" si="5"/>
        <v>46600</v>
      </c>
      <c r="J281" s="69"/>
      <c r="K281" s="70"/>
      <c r="L281" s="69"/>
    </row>
    <row r="282" s="37" customFormat="1" ht="12.75" spans="1:12">
      <c r="A282" s="37" t="s">
        <v>72</v>
      </c>
      <c r="B282" s="37" t="s">
        <v>8</v>
      </c>
      <c r="C282" s="37" t="s">
        <v>634</v>
      </c>
      <c r="D282" s="37" t="s">
        <v>152</v>
      </c>
      <c r="E282" s="37" t="s">
        <v>602</v>
      </c>
      <c r="F282" s="37" t="s">
        <v>635</v>
      </c>
      <c r="G282" s="58">
        <v>159250</v>
      </c>
      <c r="H282" s="59">
        <v>3.5</v>
      </c>
      <c r="I282" s="58">
        <f t="shared" si="5"/>
        <v>45500</v>
      </c>
      <c r="J282" s="67"/>
      <c r="K282" s="68"/>
      <c r="L282" s="67"/>
    </row>
    <row r="283" s="37" customFormat="1" ht="12.75" spans="1:12">
      <c r="A283" s="37" t="s">
        <v>72</v>
      </c>
      <c r="B283" s="37" t="s">
        <v>8</v>
      </c>
      <c r="C283" s="37" t="s">
        <v>636</v>
      </c>
      <c r="D283" s="37" t="s">
        <v>169</v>
      </c>
      <c r="E283" s="37" t="s">
        <v>602</v>
      </c>
      <c r="F283" s="37" t="s">
        <v>637</v>
      </c>
      <c r="G283" s="58">
        <v>158940</v>
      </c>
      <c r="H283" s="59">
        <v>3.5</v>
      </c>
      <c r="I283" s="58">
        <f t="shared" si="5"/>
        <v>45411</v>
      </c>
      <c r="J283" s="67"/>
      <c r="K283" s="68"/>
      <c r="L283" s="67"/>
    </row>
    <row r="284" s="37" customFormat="1" ht="12.75" spans="1:12">
      <c r="A284" s="37" t="s">
        <v>72</v>
      </c>
      <c r="B284" s="37" t="s">
        <v>8</v>
      </c>
      <c r="C284" s="37" t="s">
        <v>638</v>
      </c>
      <c r="D284" s="37" t="s">
        <v>141</v>
      </c>
      <c r="E284" s="37" t="s">
        <v>602</v>
      </c>
      <c r="F284" s="37" t="s">
        <v>639</v>
      </c>
      <c r="G284" s="58">
        <v>172200</v>
      </c>
      <c r="H284" s="59">
        <v>3.5</v>
      </c>
      <c r="I284" s="58">
        <f t="shared" si="5"/>
        <v>49200</v>
      </c>
      <c r="J284" s="67"/>
      <c r="K284" s="68"/>
      <c r="L284" s="67"/>
    </row>
    <row r="285" s="37" customFormat="1" ht="12.75" spans="1:12">
      <c r="A285" s="37" t="s">
        <v>72</v>
      </c>
      <c r="B285" s="37" t="s">
        <v>8</v>
      </c>
      <c r="C285" s="37" t="s">
        <v>640</v>
      </c>
      <c r="D285" s="37" t="s">
        <v>81</v>
      </c>
      <c r="E285" s="37" t="s">
        <v>602</v>
      </c>
      <c r="F285" s="37" t="s">
        <v>641</v>
      </c>
      <c r="G285" s="58">
        <v>162700</v>
      </c>
      <c r="H285" s="59">
        <v>3.5</v>
      </c>
      <c r="I285" s="58">
        <f t="shared" si="5"/>
        <v>46485</v>
      </c>
      <c r="J285" s="67"/>
      <c r="K285" s="68"/>
      <c r="L285" s="67"/>
    </row>
    <row r="286" s="37" customFormat="1" ht="12.75" spans="1:12">
      <c r="A286" s="37" t="s">
        <v>72</v>
      </c>
      <c r="B286" s="37" t="s">
        <v>8</v>
      </c>
      <c r="C286" s="37" t="s">
        <v>642</v>
      </c>
      <c r="D286" s="37" t="s">
        <v>166</v>
      </c>
      <c r="E286" s="37" t="s">
        <v>602</v>
      </c>
      <c r="F286" s="37" t="s">
        <v>643</v>
      </c>
      <c r="G286" s="58">
        <v>163100</v>
      </c>
      <c r="H286" s="59">
        <v>3.5</v>
      </c>
      <c r="I286" s="58">
        <f t="shared" si="5"/>
        <v>46600</v>
      </c>
      <c r="J286" s="67"/>
      <c r="K286" s="68"/>
      <c r="L286" s="67"/>
    </row>
    <row r="287" s="54" customFormat="1" ht="12.75" spans="1:12">
      <c r="A287" s="37" t="s">
        <v>72</v>
      </c>
      <c r="B287" s="37" t="s">
        <v>8</v>
      </c>
      <c r="C287" s="37" t="s">
        <v>644</v>
      </c>
      <c r="D287" s="37" t="s">
        <v>212</v>
      </c>
      <c r="E287" s="37" t="s">
        <v>602</v>
      </c>
      <c r="F287" s="37" t="s">
        <v>645</v>
      </c>
      <c r="G287" s="58">
        <v>172000</v>
      </c>
      <c r="H287" s="59">
        <v>3.5</v>
      </c>
      <c r="I287" s="58">
        <f t="shared" si="5"/>
        <v>49142</v>
      </c>
      <c r="J287" s="69"/>
      <c r="K287" s="70"/>
      <c r="L287" s="69"/>
    </row>
    <row r="288" s="54" customFormat="1" ht="12.75" spans="1:12">
      <c r="A288" s="37" t="s">
        <v>72</v>
      </c>
      <c r="B288" s="37" t="s">
        <v>8</v>
      </c>
      <c r="C288" s="37" t="s">
        <v>646</v>
      </c>
      <c r="D288" s="37" t="s">
        <v>215</v>
      </c>
      <c r="E288" s="37" t="s">
        <v>602</v>
      </c>
      <c r="F288" s="37" t="s">
        <v>647</v>
      </c>
      <c r="G288" s="58">
        <v>177500</v>
      </c>
      <c r="H288" s="59">
        <v>3.5</v>
      </c>
      <c r="I288" s="58">
        <f t="shared" si="5"/>
        <v>50714</v>
      </c>
      <c r="J288" s="69"/>
      <c r="K288" s="70"/>
      <c r="L288" s="69"/>
    </row>
    <row r="289" s="54" customFormat="1" ht="12.75" spans="1:12">
      <c r="A289" s="37" t="s">
        <v>72</v>
      </c>
      <c r="B289" s="37" t="s">
        <v>8</v>
      </c>
      <c r="C289" s="37" t="s">
        <v>648</v>
      </c>
      <c r="D289" s="37" t="s">
        <v>218</v>
      </c>
      <c r="E289" s="37" t="s">
        <v>602</v>
      </c>
      <c r="F289" s="37" t="s">
        <v>649</v>
      </c>
      <c r="G289" s="58">
        <v>177500</v>
      </c>
      <c r="H289" s="59">
        <v>3.5</v>
      </c>
      <c r="I289" s="58">
        <f t="shared" si="5"/>
        <v>50714</v>
      </c>
      <c r="J289" s="69"/>
      <c r="K289" s="70"/>
      <c r="L289" s="69"/>
    </row>
    <row r="290" s="37" customFormat="1" ht="12.75" spans="1:12">
      <c r="A290" s="37" t="s">
        <v>72</v>
      </c>
      <c r="B290" s="37" t="s">
        <v>8</v>
      </c>
      <c r="C290" s="37" t="s">
        <v>650</v>
      </c>
      <c r="D290" s="37" t="s">
        <v>221</v>
      </c>
      <c r="E290" s="37" t="s">
        <v>602</v>
      </c>
      <c r="F290" s="37" t="s">
        <v>651</v>
      </c>
      <c r="G290" s="58">
        <v>177500</v>
      </c>
      <c r="H290" s="59">
        <v>3.5</v>
      </c>
      <c r="I290" s="58">
        <f t="shared" si="5"/>
        <v>50714</v>
      </c>
      <c r="J290" s="67"/>
      <c r="K290" s="68"/>
      <c r="L290" s="67"/>
    </row>
    <row r="291" s="37" customFormat="1" ht="12.75" spans="1:12">
      <c r="A291" s="37" t="s">
        <v>72</v>
      </c>
      <c r="B291" s="37" t="s">
        <v>8</v>
      </c>
      <c r="C291" s="37" t="s">
        <v>652</v>
      </c>
      <c r="D291" s="37" t="s">
        <v>224</v>
      </c>
      <c r="E291" s="37" t="s">
        <v>602</v>
      </c>
      <c r="F291" s="37" t="s">
        <v>653</v>
      </c>
      <c r="G291" s="58">
        <v>177500</v>
      </c>
      <c r="H291" s="59">
        <v>3.7</v>
      </c>
      <c r="I291" s="58">
        <f t="shared" si="5"/>
        <v>47972</v>
      </c>
      <c r="J291" s="67"/>
      <c r="K291" s="68"/>
      <c r="L291" s="67"/>
    </row>
    <row r="292" s="37" customFormat="1" ht="12.75" spans="1:12">
      <c r="A292" s="37" t="s">
        <v>72</v>
      </c>
      <c r="B292" s="37" t="s">
        <v>8</v>
      </c>
      <c r="C292" s="37" t="s">
        <v>654</v>
      </c>
      <c r="D292" s="37" t="s">
        <v>227</v>
      </c>
      <c r="E292" s="37" t="s">
        <v>602</v>
      </c>
      <c r="F292" s="37" t="s">
        <v>655</v>
      </c>
      <c r="G292" s="58">
        <v>177500</v>
      </c>
      <c r="H292" s="59">
        <v>3.8</v>
      </c>
      <c r="I292" s="58">
        <f t="shared" si="5"/>
        <v>46710</v>
      </c>
      <c r="J292" s="67"/>
      <c r="K292" s="68"/>
      <c r="L292" s="67"/>
    </row>
    <row r="293" s="37" customFormat="1" ht="12.75" spans="1:12">
      <c r="A293" s="37" t="s">
        <v>72</v>
      </c>
      <c r="B293" s="37" t="s">
        <v>8</v>
      </c>
      <c r="C293" s="37" t="s">
        <v>656</v>
      </c>
      <c r="D293" s="37" t="s">
        <v>230</v>
      </c>
      <c r="E293" s="37" t="s">
        <v>602</v>
      </c>
      <c r="F293" s="37" t="s">
        <v>657</v>
      </c>
      <c r="G293" s="58">
        <v>177500</v>
      </c>
      <c r="H293" s="59">
        <v>3.5</v>
      </c>
      <c r="I293" s="58">
        <f t="shared" si="5"/>
        <v>50714</v>
      </c>
      <c r="J293" s="67"/>
      <c r="K293" s="68"/>
      <c r="L293" s="67"/>
    </row>
    <row r="294" s="37" customFormat="1" ht="12.75" spans="1:12">
      <c r="A294" s="37" t="s">
        <v>72</v>
      </c>
      <c r="B294" s="37" t="s">
        <v>8</v>
      </c>
      <c r="C294" s="37" t="s">
        <v>658</v>
      </c>
      <c r="D294" s="37" t="s">
        <v>236</v>
      </c>
      <c r="E294" s="37" t="s">
        <v>602</v>
      </c>
      <c r="F294" s="37" t="s">
        <v>659</v>
      </c>
      <c r="G294" s="58">
        <v>177500</v>
      </c>
      <c r="H294" s="59">
        <v>3.5</v>
      </c>
      <c r="I294" s="58">
        <f t="shared" si="5"/>
        <v>50714</v>
      </c>
      <c r="J294" s="67"/>
      <c r="K294" s="68"/>
      <c r="L294" s="67"/>
    </row>
    <row r="295" s="54" customFormat="1" ht="12.75" spans="1:12">
      <c r="A295" s="37" t="s">
        <v>72</v>
      </c>
      <c r="B295" s="37" t="s">
        <v>8</v>
      </c>
      <c r="C295" s="37" t="s">
        <v>660</v>
      </c>
      <c r="D295" s="37" t="s">
        <v>233</v>
      </c>
      <c r="E295" s="37" t="s">
        <v>602</v>
      </c>
      <c r="F295" s="37" t="s">
        <v>661</v>
      </c>
      <c r="G295" s="58">
        <v>177500</v>
      </c>
      <c r="H295" s="59">
        <v>3.5</v>
      </c>
      <c r="I295" s="58">
        <f t="shared" si="5"/>
        <v>50714</v>
      </c>
      <c r="J295" s="69"/>
      <c r="K295" s="70"/>
      <c r="L295" s="69"/>
    </row>
    <row r="296" s="54" customFormat="1" ht="12.75" spans="1:12">
      <c r="A296" s="37" t="s">
        <v>72</v>
      </c>
      <c r="B296" s="37" t="s">
        <v>8</v>
      </c>
      <c r="C296" s="37" t="s">
        <v>662</v>
      </c>
      <c r="D296" s="37" t="s">
        <v>75</v>
      </c>
      <c r="E296" s="37" t="s">
        <v>602</v>
      </c>
      <c r="F296" s="37" t="s">
        <v>663</v>
      </c>
      <c r="G296" s="58">
        <v>163780</v>
      </c>
      <c r="H296" s="59">
        <v>3.5</v>
      </c>
      <c r="I296" s="58">
        <f t="shared" si="5"/>
        <v>46794</v>
      </c>
      <c r="J296" s="69"/>
      <c r="K296" s="70"/>
      <c r="L296" s="69"/>
    </row>
    <row r="297" s="54" customFormat="1" ht="12.75" spans="1:12">
      <c r="A297" s="37" t="s">
        <v>72</v>
      </c>
      <c r="B297" s="37" t="s">
        <v>8</v>
      </c>
      <c r="C297" s="37" t="s">
        <v>664</v>
      </c>
      <c r="D297" s="37" t="s">
        <v>90</v>
      </c>
      <c r="E297" s="37" t="s">
        <v>602</v>
      </c>
      <c r="F297" s="37" t="s">
        <v>665</v>
      </c>
      <c r="G297" s="58">
        <v>160290</v>
      </c>
      <c r="H297" s="59">
        <v>3.5</v>
      </c>
      <c r="I297" s="58">
        <f t="shared" si="5"/>
        <v>45797</v>
      </c>
      <c r="J297" s="69"/>
      <c r="K297" s="70"/>
      <c r="L297" s="69"/>
    </row>
    <row r="298" s="37" customFormat="1" ht="12.75" spans="1:12">
      <c r="A298" s="37" t="s">
        <v>72</v>
      </c>
      <c r="B298" s="37" t="s">
        <v>8</v>
      </c>
      <c r="C298" s="37" t="s">
        <v>666</v>
      </c>
      <c r="D298" s="37" t="s">
        <v>109</v>
      </c>
      <c r="E298" s="37" t="s">
        <v>602</v>
      </c>
      <c r="F298" s="37" t="s">
        <v>667</v>
      </c>
      <c r="G298" s="58">
        <v>161830</v>
      </c>
      <c r="H298" s="59">
        <v>3.5</v>
      </c>
      <c r="I298" s="58">
        <f t="shared" si="5"/>
        <v>46237</v>
      </c>
      <c r="J298" s="67"/>
      <c r="K298" s="68"/>
      <c r="L298" s="67"/>
    </row>
    <row r="299" s="37" customFormat="1" ht="12.75" spans="1:12">
      <c r="A299" s="54" t="s">
        <v>72</v>
      </c>
      <c r="B299" s="54" t="s">
        <v>73</v>
      </c>
      <c r="C299" s="64" t="s">
        <v>668</v>
      </c>
      <c r="D299" s="64" t="s">
        <v>114</v>
      </c>
      <c r="E299" s="37" t="s">
        <v>602</v>
      </c>
      <c r="F299" s="37" t="s">
        <v>669</v>
      </c>
      <c r="G299" s="58">
        <v>165650</v>
      </c>
      <c r="H299" s="59">
        <v>3.6</v>
      </c>
      <c r="I299" s="58">
        <f t="shared" si="5"/>
        <v>46013</v>
      </c>
      <c r="J299" s="67"/>
      <c r="K299" s="68"/>
      <c r="L299" s="67"/>
    </row>
    <row r="300" s="37" customFormat="1" ht="12.75" spans="1:12">
      <c r="A300" s="37" t="s">
        <v>72</v>
      </c>
      <c r="B300" s="37" t="s">
        <v>8</v>
      </c>
      <c r="C300" s="37" t="s">
        <v>670</v>
      </c>
      <c r="D300" s="37" t="s">
        <v>119</v>
      </c>
      <c r="E300" s="37" t="s">
        <v>602</v>
      </c>
      <c r="F300" s="37" t="s">
        <v>671</v>
      </c>
      <c r="G300" s="58">
        <v>163800</v>
      </c>
      <c r="H300" s="59">
        <v>3.5</v>
      </c>
      <c r="I300" s="58">
        <f t="shared" si="5"/>
        <v>46800</v>
      </c>
      <c r="J300" s="67"/>
      <c r="K300" s="68"/>
      <c r="L300" s="67"/>
    </row>
    <row r="301" s="37" customFormat="1" ht="12.75" spans="1:12">
      <c r="A301" s="37" t="s">
        <v>72</v>
      </c>
      <c r="B301" s="37" t="s">
        <v>8</v>
      </c>
      <c r="C301" s="37" t="s">
        <v>672</v>
      </c>
      <c r="D301" s="37" t="s">
        <v>149</v>
      </c>
      <c r="E301" s="37" t="s">
        <v>602</v>
      </c>
      <c r="F301" s="37" t="s">
        <v>673</v>
      </c>
      <c r="G301" s="58">
        <v>167610</v>
      </c>
      <c r="H301" s="59">
        <v>3.5</v>
      </c>
      <c r="I301" s="58">
        <f t="shared" si="5"/>
        <v>47888</v>
      </c>
      <c r="J301" s="67"/>
      <c r="K301" s="68"/>
      <c r="L301" s="67"/>
    </row>
    <row r="302" s="37" customFormat="1" ht="12.75" spans="1:12">
      <c r="A302" s="37" t="s">
        <v>72</v>
      </c>
      <c r="B302" s="37" t="s">
        <v>8</v>
      </c>
      <c r="C302" s="37" t="s">
        <v>674</v>
      </c>
      <c r="D302" s="37" t="s">
        <v>155</v>
      </c>
      <c r="E302" s="37" t="s">
        <v>602</v>
      </c>
      <c r="F302" s="37" t="s">
        <v>675</v>
      </c>
      <c r="G302" s="58">
        <v>169750</v>
      </c>
      <c r="H302" s="59">
        <v>3.5</v>
      </c>
      <c r="I302" s="58">
        <f t="shared" si="5"/>
        <v>48500</v>
      </c>
      <c r="J302" s="67"/>
      <c r="K302" s="68"/>
      <c r="L302" s="67"/>
    </row>
    <row r="303" s="54" customFormat="1" ht="12.75" spans="1:12">
      <c r="A303" s="37" t="s">
        <v>72</v>
      </c>
      <c r="B303" s="37" t="s">
        <v>8</v>
      </c>
      <c r="C303" s="37" t="s">
        <v>676</v>
      </c>
      <c r="D303" s="37" t="s">
        <v>158</v>
      </c>
      <c r="E303" s="37" t="s">
        <v>602</v>
      </c>
      <c r="F303" s="37" t="s">
        <v>677</v>
      </c>
      <c r="G303" s="58">
        <v>161250</v>
      </c>
      <c r="H303" s="59">
        <v>3.5</v>
      </c>
      <c r="I303" s="58">
        <f t="shared" si="5"/>
        <v>46071</v>
      </c>
      <c r="J303" s="69"/>
      <c r="K303" s="70"/>
      <c r="L303" s="69"/>
    </row>
    <row r="304" s="54" customFormat="1" ht="12.75" spans="1:12">
      <c r="A304" s="37" t="s">
        <v>72</v>
      </c>
      <c r="B304" s="37" t="s">
        <v>8</v>
      </c>
      <c r="C304" s="37" t="s">
        <v>678</v>
      </c>
      <c r="D304" s="37" t="s">
        <v>175</v>
      </c>
      <c r="E304" s="37" t="s">
        <v>602</v>
      </c>
      <c r="F304" s="37" t="s">
        <v>679</v>
      </c>
      <c r="G304" s="58">
        <v>159170</v>
      </c>
      <c r="H304" s="59">
        <v>3.5</v>
      </c>
      <c r="I304" s="58">
        <f t="shared" si="5"/>
        <v>45477</v>
      </c>
      <c r="J304" s="69"/>
      <c r="K304" s="70"/>
      <c r="L304" s="69"/>
    </row>
    <row r="305" s="54" customFormat="1" ht="12.75" spans="1:12">
      <c r="A305" s="37" t="s">
        <v>72</v>
      </c>
      <c r="B305" s="37" t="s">
        <v>8</v>
      </c>
      <c r="C305" s="37" t="s">
        <v>680</v>
      </c>
      <c r="D305" s="37" t="s">
        <v>181</v>
      </c>
      <c r="E305" s="37" t="s">
        <v>602</v>
      </c>
      <c r="F305" s="37" t="s">
        <v>681</v>
      </c>
      <c r="G305" s="58">
        <v>168980</v>
      </c>
      <c r="H305" s="59">
        <v>3.5</v>
      </c>
      <c r="I305" s="58">
        <f t="shared" si="5"/>
        <v>48280</v>
      </c>
      <c r="J305" s="69"/>
      <c r="K305" s="70"/>
      <c r="L305" s="69"/>
    </row>
    <row r="306" s="37" customFormat="1" ht="12.75" spans="1:12">
      <c r="A306" s="37" t="s">
        <v>72</v>
      </c>
      <c r="B306" s="37" t="s">
        <v>8</v>
      </c>
      <c r="C306" s="37" t="s">
        <v>682</v>
      </c>
      <c r="D306" s="37" t="s">
        <v>189</v>
      </c>
      <c r="E306" s="37" t="s">
        <v>602</v>
      </c>
      <c r="F306" s="37" t="s">
        <v>683</v>
      </c>
      <c r="G306" s="58">
        <v>166000</v>
      </c>
      <c r="H306" s="59">
        <v>3.5</v>
      </c>
      <c r="I306" s="58">
        <f t="shared" si="5"/>
        <v>47428</v>
      </c>
      <c r="J306" s="67"/>
      <c r="K306" s="68"/>
      <c r="L306" s="67"/>
    </row>
    <row r="307" s="37" customFormat="1" ht="12.75" spans="1:12">
      <c r="A307" s="37" t="s">
        <v>72</v>
      </c>
      <c r="B307" s="37" t="s">
        <v>8</v>
      </c>
      <c r="C307" s="37" t="s">
        <v>684</v>
      </c>
      <c r="D307" s="37" t="s">
        <v>192</v>
      </c>
      <c r="E307" s="37" t="s">
        <v>602</v>
      </c>
      <c r="F307" s="37" t="s">
        <v>685</v>
      </c>
      <c r="G307" s="58">
        <v>162500</v>
      </c>
      <c r="H307" s="59">
        <v>3.5</v>
      </c>
      <c r="I307" s="58">
        <f t="shared" si="5"/>
        <v>46428</v>
      </c>
      <c r="J307" s="67"/>
      <c r="K307" s="68"/>
      <c r="L307" s="67"/>
    </row>
    <row r="308" s="37" customFormat="1" ht="12.75" spans="1:12">
      <c r="A308" s="37" t="s">
        <v>72</v>
      </c>
      <c r="B308" s="37" t="s">
        <v>8</v>
      </c>
      <c r="C308" s="37" t="s">
        <v>686</v>
      </c>
      <c r="D308" s="37" t="s">
        <v>195</v>
      </c>
      <c r="E308" s="37" t="s">
        <v>602</v>
      </c>
      <c r="F308" s="37" t="s">
        <v>687</v>
      </c>
      <c r="G308" s="58">
        <v>162600</v>
      </c>
      <c r="H308" s="59">
        <v>3.5</v>
      </c>
      <c r="I308" s="58">
        <f t="shared" si="5"/>
        <v>46457</v>
      </c>
      <c r="J308" s="67"/>
      <c r="K308" s="68"/>
      <c r="L308" s="67"/>
    </row>
    <row r="309" s="37" customFormat="1" ht="12.75" spans="1:12">
      <c r="A309" s="37" t="s">
        <v>72</v>
      </c>
      <c r="B309" s="37" t="s">
        <v>8</v>
      </c>
      <c r="C309" s="37" t="s">
        <v>688</v>
      </c>
      <c r="D309" s="37" t="s">
        <v>198</v>
      </c>
      <c r="E309" s="37" t="s">
        <v>602</v>
      </c>
      <c r="F309" s="37" t="s">
        <v>689</v>
      </c>
      <c r="G309" s="58">
        <v>160650</v>
      </c>
      <c r="H309" s="59">
        <v>3.5</v>
      </c>
      <c r="I309" s="58">
        <f t="shared" si="5"/>
        <v>45900</v>
      </c>
      <c r="J309" s="67"/>
      <c r="K309" s="68"/>
      <c r="L309" s="67"/>
    </row>
    <row r="310" s="37" customFormat="1" ht="12.75" spans="1:12">
      <c r="A310" s="37" t="s">
        <v>72</v>
      </c>
      <c r="B310" s="37" t="s">
        <v>8</v>
      </c>
      <c r="C310" s="37" t="s">
        <v>690</v>
      </c>
      <c r="D310" s="37" t="s">
        <v>206</v>
      </c>
      <c r="E310" s="37" t="s">
        <v>602</v>
      </c>
      <c r="F310" s="37" t="s">
        <v>691</v>
      </c>
      <c r="G310" s="58">
        <v>177580</v>
      </c>
      <c r="H310" s="59">
        <v>3.5</v>
      </c>
      <c r="I310" s="58">
        <f t="shared" si="5"/>
        <v>50737</v>
      </c>
      <c r="J310" s="67"/>
      <c r="K310" s="68"/>
      <c r="L310" s="67"/>
    </row>
    <row r="311" s="54" customFormat="1" ht="12.75" spans="1:12">
      <c r="A311" s="37" t="s">
        <v>692</v>
      </c>
      <c r="B311" s="37" t="s">
        <v>693</v>
      </c>
      <c r="C311" s="37" t="s">
        <v>694</v>
      </c>
      <c r="D311" s="37" t="s">
        <v>212</v>
      </c>
      <c r="E311" s="37" t="s">
        <v>695</v>
      </c>
      <c r="F311" s="37" t="s">
        <v>696</v>
      </c>
      <c r="G311" s="58">
        <v>129500</v>
      </c>
      <c r="H311" s="59">
        <v>3.7</v>
      </c>
      <c r="I311" s="58">
        <f t="shared" si="5"/>
        <v>35000</v>
      </c>
      <c r="J311" s="69"/>
      <c r="K311" s="70"/>
      <c r="L311" s="69"/>
    </row>
    <row r="312" s="54" customFormat="1" ht="12.75" spans="1:12">
      <c r="A312" s="37" t="s">
        <v>692</v>
      </c>
      <c r="B312" s="37" t="s">
        <v>693</v>
      </c>
      <c r="C312" s="37" t="s">
        <v>697</v>
      </c>
      <c r="D312" s="37" t="s">
        <v>17</v>
      </c>
      <c r="E312" s="37" t="s">
        <v>695</v>
      </c>
      <c r="F312" s="37" t="s">
        <v>698</v>
      </c>
      <c r="G312" s="58">
        <v>129500</v>
      </c>
      <c r="H312" s="59">
        <v>3.7</v>
      </c>
      <c r="I312" s="58">
        <f t="shared" si="5"/>
        <v>35000</v>
      </c>
      <c r="J312" s="69"/>
      <c r="K312" s="70"/>
      <c r="L312" s="69"/>
    </row>
    <row r="313" s="37" customFormat="1" ht="12.75" spans="1:12">
      <c r="A313" s="37" t="s">
        <v>692</v>
      </c>
      <c r="B313" s="37" t="s">
        <v>693</v>
      </c>
      <c r="C313" s="37" t="s">
        <v>699</v>
      </c>
      <c r="D313" s="37" t="s">
        <v>23</v>
      </c>
      <c r="E313" s="37" t="s">
        <v>695</v>
      </c>
      <c r="F313" s="37" t="s">
        <v>700</v>
      </c>
      <c r="G313" s="58">
        <v>128500</v>
      </c>
      <c r="H313" s="59">
        <v>3.7</v>
      </c>
      <c r="I313" s="58">
        <f t="shared" si="5"/>
        <v>34729</v>
      </c>
      <c r="J313" s="67"/>
      <c r="K313" s="68"/>
      <c r="L313" s="67"/>
    </row>
    <row r="314" s="37" customFormat="1" ht="12.75" spans="1:12">
      <c r="A314" s="37" t="s">
        <v>692</v>
      </c>
      <c r="B314" s="37" t="s">
        <v>693</v>
      </c>
      <c r="C314" s="37" t="s">
        <v>701</v>
      </c>
      <c r="D314" s="37" t="s">
        <v>26</v>
      </c>
      <c r="E314" s="37" t="s">
        <v>695</v>
      </c>
      <c r="F314" s="37" t="s">
        <v>702</v>
      </c>
      <c r="G314" s="58">
        <v>126500</v>
      </c>
      <c r="H314" s="59">
        <v>3.7</v>
      </c>
      <c r="I314" s="58">
        <f t="shared" si="5"/>
        <v>34189</v>
      </c>
      <c r="J314" s="67"/>
      <c r="K314" s="68"/>
      <c r="L314" s="67"/>
    </row>
    <row r="315" s="37" customFormat="1" ht="12.75" spans="1:12">
      <c r="A315" s="37" t="s">
        <v>692</v>
      </c>
      <c r="B315" s="37" t="s">
        <v>693</v>
      </c>
      <c r="C315" s="37" t="s">
        <v>703</v>
      </c>
      <c r="D315" s="37" t="s">
        <v>704</v>
      </c>
      <c r="E315" s="37" t="s">
        <v>695</v>
      </c>
      <c r="F315" s="37" t="s">
        <v>705</v>
      </c>
      <c r="G315" s="58">
        <v>130805</v>
      </c>
      <c r="H315" s="59">
        <v>3.7</v>
      </c>
      <c r="I315" s="58">
        <f t="shared" si="5"/>
        <v>35352</v>
      </c>
      <c r="J315" s="67"/>
      <c r="K315" s="68"/>
      <c r="L315" s="67"/>
    </row>
    <row r="316" s="37" customFormat="1" ht="12.75" spans="1:12">
      <c r="A316" s="37" t="s">
        <v>692</v>
      </c>
      <c r="B316" s="37" t="s">
        <v>693</v>
      </c>
      <c r="C316" s="37" t="s">
        <v>706</v>
      </c>
      <c r="D316" s="37" t="s">
        <v>32</v>
      </c>
      <c r="E316" s="37" t="s">
        <v>695</v>
      </c>
      <c r="F316" s="37" t="s">
        <v>707</v>
      </c>
      <c r="G316" s="58">
        <v>128900</v>
      </c>
      <c r="H316" s="59">
        <v>3.7</v>
      </c>
      <c r="I316" s="58">
        <f t="shared" si="5"/>
        <v>34837</v>
      </c>
      <c r="J316" s="67"/>
      <c r="K316" s="68"/>
      <c r="L316" s="67"/>
    </row>
    <row r="317" s="37" customFormat="1" ht="12.75" spans="1:12">
      <c r="A317" s="37" t="s">
        <v>692</v>
      </c>
      <c r="B317" s="37" t="s">
        <v>693</v>
      </c>
      <c r="C317" s="37" t="s">
        <v>708</v>
      </c>
      <c r="D317" s="37" t="s">
        <v>35</v>
      </c>
      <c r="E317" s="37" t="s">
        <v>695</v>
      </c>
      <c r="F317" s="37" t="s">
        <v>709</v>
      </c>
      <c r="G317" s="58">
        <v>137530</v>
      </c>
      <c r="H317" s="59">
        <v>3.7</v>
      </c>
      <c r="I317" s="58">
        <f t="shared" si="5"/>
        <v>37170</v>
      </c>
      <c r="J317" s="67"/>
      <c r="K317" s="68"/>
      <c r="L317" s="67"/>
    </row>
    <row r="318" s="54" customFormat="1" ht="12.75" spans="1:12">
      <c r="A318" s="37" t="s">
        <v>692</v>
      </c>
      <c r="B318" s="37" t="s">
        <v>693</v>
      </c>
      <c r="C318" s="37" t="s">
        <v>710</v>
      </c>
      <c r="D318" s="37" t="s">
        <v>38</v>
      </c>
      <c r="E318" s="37" t="s">
        <v>695</v>
      </c>
      <c r="F318" s="37" t="s">
        <v>711</v>
      </c>
      <c r="G318" s="58">
        <v>129800</v>
      </c>
      <c r="H318" s="59">
        <v>3.7</v>
      </c>
      <c r="I318" s="58">
        <f t="shared" si="5"/>
        <v>35081</v>
      </c>
      <c r="J318" s="69"/>
      <c r="K318" s="70"/>
      <c r="L318" s="69"/>
    </row>
    <row r="319" s="54" customFormat="1" ht="12.75" spans="1:12">
      <c r="A319" s="37" t="s">
        <v>692</v>
      </c>
      <c r="B319" s="37" t="s">
        <v>693</v>
      </c>
      <c r="C319" s="37" t="s">
        <v>712</v>
      </c>
      <c r="D319" s="37" t="s">
        <v>41</v>
      </c>
      <c r="E319" s="37" t="s">
        <v>695</v>
      </c>
      <c r="F319" s="37" t="s">
        <v>713</v>
      </c>
      <c r="G319" s="58">
        <v>123160</v>
      </c>
      <c r="H319" s="59">
        <v>3.7</v>
      </c>
      <c r="I319" s="58">
        <f t="shared" si="5"/>
        <v>33286</v>
      </c>
      <c r="J319" s="69"/>
      <c r="K319" s="70"/>
      <c r="L319" s="69"/>
    </row>
    <row r="320" s="54" customFormat="1" ht="12.75" spans="1:12">
      <c r="A320" s="37" t="s">
        <v>692</v>
      </c>
      <c r="B320" s="37" t="s">
        <v>693</v>
      </c>
      <c r="C320" s="37" t="s">
        <v>714</v>
      </c>
      <c r="D320" s="37" t="s">
        <v>715</v>
      </c>
      <c r="E320" s="37" t="s">
        <v>695</v>
      </c>
      <c r="F320" s="37" t="s">
        <v>716</v>
      </c>
      <c r="G320" s="58">
        <v>129700</v>
      </c>
      <c r="H320" s="59">
        <v>3.7</v>
      </c>
      <c r="I320" s="58">
        <f t="shared" si="5"/>
        <v>35054</v>
      </c>
      <c r="J320" s="69"/>
      <c r="K320" s="70"/>
      <c r="L320" s="69"/>
    </row>
    <row r="321" s="37" customFormat="1" ht="12.75" spans="1:12">
      <c r="A321" s="37" t="s">
        <v>692</v>
      </c>
      <c r="B321" s="37" t="s">
        <v>693</v>
      </c>
      <c r="C321" s="37" t="s">
        <v>717</v>
      </c>
      <c r="D321" s="37" t="s">
        <v>44</v>
      </c>
      <c r="E321" s="37" t="s">
        <v>695</v>
      </c>
      <c r="F321" s="37" t="s">
        <v>718</v>
      </c>
      <c r="G321" s="58">
        <v>134500</v>
      </c>
      <c r="H321" s="59">
        <v>3.7</v>
      </c>
      <c r="I321" s="58">
        <f t="shared" si="5"/>
        <v>36351</v>
      </c>
      <c r="J321" s="67"/>
      <c r="K321" s="68"/>
      <c r="L321" s="67"/>
    </row>
    <row r="322" s="37" customFormat="1" ht="12.75" spans="1:12">
      <c r="A322" s="37" t="s">
        <v>692</v>
      </c>
      <c r="B322" s="37" t="s">
        <v>693</v>
      </c>
      <c r="C322" s="37" t="s">
        <v>719</v>
      </c>
      <c r="D322" s="37" t="s">
        <v>20</v>
      </c>
      <c r="E322" s="37" t="s">
        <v>695</v>
      </c>
      <c r="F322" s="37" t="s">
        <v>720</v>
      </c>
      <c r="G322" s="58">
        <v>135700</v>
      </c>
      <c r="H322" s="59">
        <v>3.7</v>
      </c>
      <c r="I322" s="58">
        <f t="shared" ref="I322:I327" si="6">ROUNDDOWN(G322/H322,0)</f>
        <v>36675</v>
      </c>
      <c r="J322" s="67"/>
      <c r="K322" s="68"/>
      <c r="L322" s="67"/>
    </row>
    <row r="323" s="37" customFormat="1" ht="12.75" spans="1:12">
      <c r="A323" s="37" t="s">
        <v>692</v>
      </c>
      <c r="B323" s="37" t="s">
        <v>693</v>
      </c>
      <c r="C323" s="37" t="s">
        <v>721</v>
      </c>
      <c r="D323" s="37" t="s">
        <v>722</v>
      </c>
      <c r="E323" s="37" t="s">
        <v>695</v>
      </c>
      <c r="F323" s="37" t="s">
        <v>723</v>
      </c>
      <c r="G323" s="58">
        <v>130500</v>
      </c>
      <c r="H323" s="59">
        <v>3.7</v>
      </c>
      <c r="I323" s="58">
        <f t="shared" si="6"/>
        <v>35270</v>
      </c>
      <c r="J323" s="67"/>
      <c r="K323" s="68"/>
      <c r="L323" s="67"/>
    </row>
    <row r="324" s="37" customFormat="1" ht="12.75" spans="1:12">
      <c r="A324" s="37" t="s">
        <v>692</v>
      </c>
      <c r="B324" s="37" t="s">
        <v>693</v>
      </c>
      <c r="C324" s="37" t="s">
        <v>724</v>
      </c>
      <c r="D324" s="37" t="s">
        <v>14</v>
      </c>
      <c r="E324" s="37" t="s">
        <v>695</v>
      </c>
      <c r="F324" s="37" t="s">
        <v>725</v>
      </c>
      <c r="G324" s="58">
        <v>139550</v>
      </c>
      <c r="H324" s="59">
        <v>3.7</v>
      </c>
      <c r="I324" s="58">
        <f t="shared" si="6"/>
        <v>37716</v>
      </c>
      <c r="J324" s="67"/>
      <c r="K324" s="68"/>
      <c r="L324" s="67"/>
    </row>
    <row r="325" s="37" customFormat="1" ht="12.75" spans="1:12">
      <c r="A325" s="37" t="s">
        <v>692</v>
      </c>
      <c r="B325" s="37" t="s">
        <v>693</v>
      </c>
      <c r="C325" s="37" t="s">
        <v>726</v>
      </c>
      <c r="D325" s="37" t="s">
        <v>727</v>
      </c>
      <c r="E325" s="37" t="s">
        <v>695</v>
      </c>
      <c r="F325" s="37" t="s">
        <v>728</v>
      </c>
      <c r="G325" s="58">
        <v>125500</v>
      </c>
      <c r="H325" s="59">
        <v>3.7</v>
      </c>
      <c r="I325" s="58">
        <f t="shared" si="6"/>
        <v>33918</v>
      </c>
      <c r="J325" s="67"/>
      <c r="K325" s="68"/>
      <c r="L325" s="67"/>
    </row>
    <row r="326" s="54" customFormat="1" ht="12.75" spans="1:12">
      <c r="A326" s="37" t="s">
        <v>692</v>
      </c>
      <c r="B326" s="37" t="s">
        <v>693</v>
      </c>
      <c r="C326" s="37" t="s">
        <v>729</v>
      </c>
      <c r="D326" s="37" t="s">
        <v>730</v>
      </c>
      <c r="E326" s="37" t="s">
        <v>695</v>
      </c>
      <c r="F326" s="37" t="s">
        <v>731</v>
      </c>
      <c r="G326" s="58">
        <v>142600</v>
      </c>
      <c r="H326" s="59">
        <v>3.7</v>
      </c>
      <c r="I326" s="58">
        <f t="shared" si="6"/>
        <v>38540</v>
      </c>
      <c r="J326" s="69"/>
      <c r="K326" s="70"/>
      <c r="L326" s="69"/>
    </row>
    <row r="327" s="54" customFormat="1" ht="12.75" spans="1:12">
      <c r="A327" s="37" t="s">
        <v>692</v>
      </c>
      <c r="B327" s="37" t="s">
        <v>693</v>
      </c>
      <c r="C327" s="37" t="s">
        <v>732</v>
      </c>
      <c r="D327" s="67" t="s">
        <v>10</v>
      </c>
      <c r="E327" s="37" t="s">
        <v>695</v>
      </c>
      <c r="F327" s="37" t="s">
        <v>733</v>
      </c>
      <c r="G327" s="58">
        <v>130000</v>
      </c>
      <c r="H327" s="59">
        <v>3.7</v>
      </c>
      <c r="I327" s="58">
        <f t="shared" si="6"/>
        <v>35135</v>
      </c>
      <c r="J327" s="69"/>
      <c r="K327" s="70"/>
      <c r="L327" s="69"/>
    </row>
    <row r="328" s="54" customFormat="1" ht="12.75" spans="1:12">
      <c r="A328" s="37"/>
      <c r="B328" s="37"/>
      <c r="C328" s="67"/>
      <c r="D328" s="67"/>
      <c r="E328" s="37"/>
      <c r="F328" s="37"/>
      <c r="G328" s="58"/>
      <c r="H328" s="59"/>
      <c r="I328" s="58"/>
      <c r="J328" s="69"/>
      <c r="K328" s="70"/>
      <c r="L328" s="69"/>
    </row>
    <row r="329" s="37" customFormat="1" ht="12.75" spans="1:12">
      <c r="C329" s="67"/>
      <c r="D329" s="67"/>
      <c r="G329" s="58"/>
      <c r="H329" s="59"/>
      <c r="I329" s="58"/>
      <c r="J329" s="67"/>
      <c r="K329" s="68"/>
      <c r="L329" s="67"/>
    </row>
    <row r="330" s="37" customFormat="1" ht="12.75" spans="1:12">
      <c r="C330" s="67"/>
      <c r="D330" s="67"/>
      <c r="G330" s="58"/>
      <c r="H330" s="59"/>
      <c r="I330" s="58"/>
      <c r="K330" s="60"/>
      <c r="L330" s="73"/>
    </row>
    <row r="331" s="37" customFormat="1" ht="12.75" spans="1:12">
      <c r="C331" s="67"/>
      <c r="D331" s="67"/>
      <c r="G331" s="58"/>
      <c r="H331" s="59"/>
      <c r="I331" s="58"/>
      <c r="J331" s="67"/>
      <c r="K331" s="68"/>
      <c r="L331" s="67"/>
    </row>
    <row r="332" s="37" customFormat="1" ht="12.75" spans="1:12">
      <c r="C332" s="67"/>
      <c r="D332" s="67"/>
      <c r="G332" s="58"/>
      <c r="H332" s="59"/>
      <c r="I332" s="58"/>
      <c r="J332" s="67"/>
      <c r="K332" s="68"/>
      <c r="L332" s="67"/>
    </row>
    <row r="333" s="37" customFormat="1" ht="12.75" spans="1:12">
      <c r="C333" s="67"/>
      <c r="D333" s="67"/>
      <c r="G333" s="58"/>
      <c r="H333" s="59"/>
      <c r="I333" s="58"/>
      <c r="J333" s="67"/>
      <c r="K333" s="68"/>
      <c r="L333" s="67"/>
    </row>
    <row r="334" s="54" customFormat="1" ht="12.75" spans="1:12">
      <c r="A334" s="37"/>
      <c r="B334" s="37"/>
      <c r="C334" s="67"/>
      <c r="D334" s="67"/>
      <c r="E334" s="37"/>
      <c r="F334" s="37"/>
      <c r="G334" s="58"/>
      <c r="H334" s="59"/>
      <c r="I334" s="58"/>
      <c r="J334" s="69"/>
      <c r="K334" s="70"/>
      <c r="L334" s="69"/>
    </row>
    <row r="335" s="54" customFormat="1" ht="12.75" spans="1:12">
      <c r="A335" s="37"/>
      <c r="B335" s="37"/>
      <c r="C335" s="67"/>
      <c r="D335" s="67"/>
      <c r="E335" s="37"/>
      <c r="F335" s="37"/>
      <c r="G335" s="58"/>
      <c r="H335" s="59"/>
      <c r="I335" s="58"/>
      <c r="J335" s="69"/>
      <c r="K335" s="70"/>
      <c r="L335" s="69"/>
    </row>
    <row r="336" s="54" customFormat="1" ht="12.75" spans="1:12">
      <c r="A336" s="37"/>
      <c r="B336" s="37"/>
      <c r="C336" s="67"/>
      <c r="D336" s="67"/>
      <c r="E336" s="37"/>
      <c r="F336" s="37"/>
      <c r="G336" s="58"/>
      <c r="H336" s="59"/>
      <c r="I336" s="58"/>
      <c r="J336" s="69"/>
      <c r="K336" s="70"/>
      <c r="L336" s="74"/>
    </row>
    <row r="337" s="37" customFormat="1" ht="12.75" spans="1:13">
      <c r="C337" s="67"/>
      <c r="D337" s="67"/>
      <c r="G337" s="58"/>
      <c r="H337" s="59"/>
      <c r="I337" s="58"/>
      <c r="J337" s="64"/>
      <c r="K337" s="68"/>
      <c r="L337" s="75"/>
      <c r="M337" s="75"/>
    </row>
    <row r="338" s="37" customFormat="1" ht="12.75" spans="1:13">
      <c r="C338" s="67"/>
      <c r="D338" s="67"/>
      <c r="G338" s="58"/>
      <c r="H338" s="59"/>
      <c r="I338" s="58"/>
      <c r="J338" s="64"/>
      <c r="K338" s="68"/>
      <c r="L338" s="75"/>
      <c r="M338" s="63"/>
    </row>
    <row r="339" s="37" customFormat="1" ht="12.75" spans="1:13">
      <c r="C339" s="67"/>
      <c r="D339" s="67"/>
      <c r="G339" s="58"/>
      <c r="H339" s="59"/>
      <c r="I339" s="58"/>
      <c r="J339" s="64"/>
      <c r="K339" s="68"/>
      <c r="L339" s="75"/>
      <c r="M339" s="63"/>
    </row>
    <row r="340" s="37" customFormat="1" ht="12.75" spans="1:13">
      <c r="C340" s="67"/>
      <c r="D340" s="67"/>
      <c r="G340" s="58"/>
      <c r="H340" s="59"/>
      <c r="I340" s="58"/>
      <c r="J340" s="64"/>
      <c r="K340" s="68"/>
      <c r="L340" s="75"/>
      <c r="M340" s="63"/>
    </row>
    <row r="341" s="37" customFormat="1" ht="12.75" spans="1:13">
      <c r="C341" s="67"/>
      <c r="D341" s="67"/>
      <c r="G341" s="58"/>
      <c r="H341" s="59"/>
      <c r="I341" s="58"/>
      <c r="J341" s="64"/>
      <c r="K341" s="76"/>
      <c r="L341" s="75"/>
      <c r="M341" s="75"/>
    </row>
    <row r="342" s="37" customFormat="1" ht="12.75" spans="1:13">
      <c r="C342" s="67"/>
      <c r="D342" s="67"/>
      <c r="G342" s="58"/>
      <c r="H342" s="59"/>
      <c r="I342" s="58"/>
      <c r="J342" s="64"/>
      <c r="K342" s="76"/>
      <c r="L342" s="75"/>
      <c r="M342" s="75"/>
    </row>
    <row r="343" s="37" customFormat="1" ht="12.75" spans="1:13">
      <c r="C343" s="67"/>
      <c r="D343" s="67"/>
      <c r="G343" s="58"/>
      <c r="H343" s="59"/>
      <c r="I343" s="58"/>
      <c r="J343" s="64"/>
      <c r="K343" s="76"/>
      <c r="L343" s="75"/>
      <c r="M343" s="75"/>
    </row>
    <row r="344" s="37" customFormat="1" ht="12.75" spans="1:13">
      <c r="C344" s="67"/>
      <c r="D344" s="67"/>
      <c r="G344" s="58"/>
      <c r="H344" s="59"/>
      <c r="I344" s="58"/>
      <c r="J344" s="64"/>
      <c r="K344" s="68"/>
      <c r="L344" s="75"/>
      <c r="M344" s="63"/>
    </row>
    <row r="345" s="37" customFormat="1" ht="12.75" spans="1:13">
      <c r="C345" s="67"/>
      <c r="D345" s="67"/>
      <c r="G345" s="58"/>
      <c r="H345" s="59"/>
      <c r="I345" s="58"/>
      <c r="J345" s="64"/>
      <c r="K345" s="76"/>
      <c r="L345" s="75"/>
      <c r="M345" s="75"/>
    </row>
    <row r="346" s="37" customFormat="1" ht="12.75" spans="1:13">
      <c r="C346" s="67"/>
      <c r="D346" s="67"/>
      <c r="G346" s="58"/>
      <c r="H346" s="59"/>
      <c r="I346" s="58"/>
      <c r="J346" s="64"/>
      <c r="K346" s="76"/>
      <c r="L346" s="75"/>
      <c r="M346" s="75"/>
    </row>
    <row r="347" s="37" customFormat="1" ht="12.75" spans="1:13">
      <c r="C347" s="67"/>
      <c r="D347" s="67"/>
      <c r="G347" s="58"/>
      <c r="H347" s="59"/>
      <c r="I347" s="58"/>
      <c r="J347" s="67"/>
      <c r="K347" s="68"/>
      <c r="L347" s="67"/>
    </row>
    <row r="348" s="37" customFormat="1" ht="12.75" spans="1:13">
      <c r="C348" s="67"/>
      <c r="D348" s="67"/>
      <c r="G348" s="58"/>
      <c r="H348" s="59"/>
      <c r="I348" s="58"/>
      <c r="J348" s="67"/>
      <c r="K348" s="68"/>
      <c r="L348" s="67"/>
    </row>
    <row r="349" s="37" customFormat="1" ht="12.75" spans="1:13">
      <c r="C349" s="67"/>
      <c r="D349" s="67"/>
      <c r="G349" s="58"/>
      <c r="H349" s="59"/>
      <c r="I349" s="58"/>
      <c r="J349" s="67"/>
      <c r="K349" s="68"/>
      <c r="L349" s="67"/>
    </row>
    <row r="350" s="37" customFormat="1" ht="12.75" spans="1:13">
      <c r="C350" s="67"/>
      <c r="D350" s="67"/>
      <c r="G350" s="58"/>
      <c r="H350" s="59"/>
      <c r="I350" s="58"/>
      <c r="J350" s="67"/>
      <c r="K350" s="68"/>
      <c r="L350" s="67"/>
    </row>
    <row r="351" s="37" customFormat="1" ht="12.75" spans="1:13">
      <c r="C351" s="67"/>
      <c r="D351" s="67"/>
      <c r="G351" s="58"/>
      <c r="H351" s="59"/>
      <c r="I351" s="58"/>
      <c r="J351" s="67"/>
      <c r="K351" s="68"/>
      <c r="L351" s="67"/>
    </row>
    <row r="352" s="54" customFormat="1" ht="12.75" spans="1:13">
      <c r="A352" s="37"/>
      <c r="B352" s="37"/>
      <c r="C352" s="67"/>
      <c r="D352" s="67"/>
      <c r="E352" s="37"/>
      <c r="F352" s="37"/>
      <c r="G352" s="58"/>
      <c r="H352" s="59"/>
      <c r="I352" s="58"/>
      <c r="J352" s="69"/>
      <c r="K352" s="70"/>
      <c r="L352" s="69"/>
    </row>
    <row r="353" s="54" customFormat="1" ht="12.75" spans="1:12">
      <c r="A353" s="37"/>
      <c r="B353" s="37"/>
      <c r="C353" s="67"/>
      <c r="D353" s="67"/>
      <c r="E353" s="37"/>
      <c r="F353" s="37"/>
      <c r="G353" s="58"/>
      <c r="H353" s="59"/>
      <c r="I353" s="58"/>
      <c r="J353" s="69"/>
      <c r="K353" s="70"/>
      <c r="L353" s="69"/>
    </row>
    <row r="354" s="54" customFormat="1" ht="12.75" spans="1:12">
      <c r="A354" s="37"/>
      <c r="B354" s="37"/>
      <c r="C354" s="67"/>
      <c r="D354" s="67"/>
      <c r="E354" s="37"/>
      <c r="F354" s="37"/>
      <c r="G354" s="58"/>
      <c r="H354" s="59"/>
      <c r="I354" s="58"/>
      <c r="J354" s="69"/>
      <c r="K354" s="70"/>
      <c r="L354" s="69"/>
    </row>
    <row r="355" s="54" customFormat="1" ht="12.75" spans="1:12">
      <c r="A355" s="37"/>
      <c r="B355" s="37"/>
      <c r="C355" s="67"/>
      <c r="D355" s="67"/>
      <c r="E355" s="37"/>
      <c r="F355" s="37"/>
      <c r="G355" s="58"/>
      <c r="H355" s="59"/>
      <c r="I355" s="58"/>
      <c r="J355" s="69"/>
      <c r="K355" s="70"/>
      <c r="L355" s="69"/>
    </row>
    <row r="356" s="37" customFormat="1" ht="12.75" spans="1:12">
      <c r="C356" s="67"/>
      <c r="D356" s="67"/>
      <c r="G356" s="58"/>
      <c r="H356" s="59"/>
      <c r="I356" s="58"/>
      <c r="J356" s="67"/>
      <c r="K356" s="68"/>
      <c r="L356" s="67"/>
    </row>
    <row r="357" s="37" customFormat="1" ht="12.75" spans="1:12">
      <c r="C357" s="67"/>
      <c r="D357" s="67"/>
      <c r="G357" s="58"/>
      <c r="H357" s="59"/>
      <c r="I357" s="58"/>
      <c r="J357" s="67"/>
      <c r="K357" s="68"/>
      <c r="L357" s="67"/>
    </row>
    <row r="358" s="37" customFormat="1" ht="12.75" spans="1:12">
      <c r="C358" s="67"/>
      <c r="D358" s="67"/>
      <c r="G358" s="58"/>
      <c r="H358" s="59"/>
      <c r="I358" s="58"/>
      <c r="J358" s="67"/>
      <c r="K358" s="68"/>
      <c r="L358" s="67"/>
    </row>
    <row r="359" s="37" customFormat="1" ht="12.75" spans="1:12">
      <c r="C359" s="67"/>
      <c r="D359" s="67"/>
      <c r="G359" s="58"/>
      <c r="H359" s="59"/>
      <c r="I359" s="58"/>
      <c r="J359" s="67"/>
      <c r="K359" s="68"/>
      <c r="L359" s="67"/>
    </row>
    <row r="360" s="37" customFormat="1" ht="12.75" spans="1:12">
      <c r="C360" s="67"/>
      <c r="D360" s="67"/>
      <c r="G360" s="58"/>
      <c r="H360" s="59"/>
      <c r="I360" s="58"/>
      <c r="J360" s="67"/>
      <c r="K360" s="68"/>
      <c r="L360" s="67"/>
    </row>
    <row r="361" s="54" customFormat="1" ht="12.75" spans="1:12">
      <c r="A361" s="37"/>
      <c r="B361" s="37"/>
      <c r="C361" s="67"/>
      <c r="D361" s="67"/>
      <c r="E361" s="37"/>
      <c r="F361" s="37"/>
      <c r="G361" s="58"/>
      <c r="H361" s="59"/>
      <c r="I361" s="58"/>
      <c r="J361" s="69"/>
      <c r="K361" s="70"/>
      <c r="L361" s="69"/>
    </row>
    <row r="362" s="54" customFormat="1" ht="12.75" spans="1:12">
      <c r="A362" s="37"/>
      <c r="B362" s="37"/>
      <c r="C362" s="67"/>
      <c r="D362" s="67"/>
      <c r="E362" s="37"/>
      <c r="F362" s="37"/>
      <c r="G362" s="58"/>
      <c r="H362" s="59"/>
      <c r="I362" s="58"/>
      <c r="J362" s="69"/>
      <c r="K362" s="70"/>
      <c r="L362" s="69"/>
    </row>
    <row r="363" s="54" customFormat="1" ht="12.75" spans="1:12">
      <c r="A363" s="37"/>
      <c r="B363" s="37"/>
      <c r="C363" s="67"/>
      <c r="D363" s="67"/>
      <c r="E363" s="37"/>
      <c r="F363" s="37"/>
      <c r="G363" s="58"/>
      <c r="H363" s="59"/>
      <c r="I363" s="58"/>
      <c r="J363" s="69"/>
      <c r="K363" s="70"/>
      <c r="L363" s="69"/>
    </row>
    <row r="364" s="54" customFormat="1" ht="12.75" spans="1:12">
      <c r="A364" s="37"/>
      <c r="B364" s="37"/>
      <c r="C364" s="67"/>
      <c r="D364" s="67"/>
      <c r="E364" s="37"/>
      <c r="F364" s="37"/>
      <c r="G364" s="58"/>
      <c r="H364" s="59"/>
      <c r="I364" s="58"/>
      <c r="J364" s="69"/>
      <c r="K364" s="70"/>
      <c r="L364" s="69"/>
    </row>
    <row r="365" s="54" customFormat="1" ht="12.75" spans="1:12">
      <c r="A365" s="37"/>
      <c r="B365" s="37"/>
      <c r="C365" s="67"/>
      <c r="D365" s="67"/>
      <c r="E365" s="37"/>
      <c r="F365" s="37"/>
      <c r="G365" s="58"/>
      <c r="H365" s="59"/>
      <c r="I365" s="58"/>
      <c r="J365" s="69"/>
      <c r="K365" s="70"/>
      <c r="L365" s="69"/>
    </row>
    <row r="366" s="37" customFormat="1" ht="12.75" spans="1:12">
      <c r="C366" s="67"/>
      <c r="D366" s="67"/>
      <c r="G366" s="58"/>
      <c r="H366" s="59"/>
      <c r="I366" s="58"/>
      <c r="J366" s="67"/>
      <c r="K366" s="68"/>
      <c r="L366" s="67"/>
    </row>
    <row r="367" s="37" customFormat="1" ht="12.75" spans="1:12">
      <c r="C367" s="67"/>
      <c r="D367" s="67"/>
      <c r="G367" s="58"/>
      <c r="H367" s="59"/>
      <c r="I367" s="58"/>
      <c r="J367" s="67"/>
      <c r="K367" s="68"/>
      <c r="L367" s="67"/>
    </row>
    <row r="368" s="37" customFormat="1" ht="12.75" spans="1:12">
      <c r="C368" s="67"/>
      <c r="D368" s="67"/>
      <c r="G368" s="58"/>
      <c r="H368" s="59"/>
      <c r="I368" s="58"/>
      <c r="J368" s="67"/>
      <c r="K368" s="68"/>
      <c r="L368" s="67"/>
    </row>
    <row r="369" s="37" customFormat="1" ht="12.75" spans="1:12">
      <c r="C369" s="67"/>
      <c r="D369" s="67"/>
      <c r="G369" s="58"/>
      <c r="H369" s="59"/>
      <c r="I369" s="58"/>
      <c r="J369" s="67"/>
      <c r="K369" s="68"/>
      <c r="L369" s="67"/>
    </row>
    <row r="370" s="37" customFormat="1" ht="12.75" spans="1:12">
      <c r="C370" s="67"/>
      <c r="D370" s="67"/>
      <c r="G370" s="58"/>
      <c r="H370" s="59"/>
      <c r="I370" s="58"/>
      <c r="J370" s="67"/>
      <c r="K370" s="68"/>
      <c r="L370" s="67"/>
    </row>
    <row r="371" s="54" customFormat="1" ht="12.75" spans="1:12">
      <c r="A371" s="37"/>
      <c r="B371" s="37"/>
      <c r="C371" s="67"/>
      <c r="D371" s="67"/>
      <c r="E371" s="37"/>
      <c r="F371" s="37"/>
      <c r="G371" s="58"/>
      <c r="H371" s="59"/>
      <c r="I371" s="58"/>
      <c r="J371" s="69"/>
      <c r="K371" s="70"/>
      <c r="L371" s="69"/>
    </row>
    <row r="372" s="54" customFormat="1" ht="12.75" spans="1:12">
      <c r="A372" s="37"/>
      <c r="B372" s="37"/>
      <c r="C372" s="67"/>
      <c r="D372" s="67"/>
      <c r="E372" s="37"/>
      <c r="F372" s="37"/>
      <c r="G372" s="58"/>
      <c r="H372" s="59"/>
      <c r="I372" s="58"/>
      <c r="J372" s="69"/>
      <c r="K372" s="70"/>
      <c r="L372" s="69"/>
    </row>
    <row r="373" s="54" customFormat="1" ht="12.75" spans="1:12">
      <c r="A373" s="37"/>
      <c r="B373" s="37"/>
      <c r="C373" s="67"/>
      <c r="D373" s="67"/>
      <c r="E373" s="37"/>
      <c r="F373" s="37"/>
      <c r="G373" s="58"/>
      <c r="H373" s="59"/>
      <c r="I373" s="58"/>
      <c r="J373" s="69"/>
      <c r="K373" s="70"/>
      <c r="L373" s="69"/>
    </row>
    <row r="374" s="54" customFormat="1" ht="12.75" spans="1:12">
      <c r="A374" s="37"/>
      <c r="B374" s="37"/>
      <c r="C374" s="67"/>
      <c r="D374" s="67"/>
      <c r="E374" s="37"/>
      <c r="F374" s="37"/>
      <c r="G374" s="58"/>
      <c r="H374" s="59"/>
      <c r="I374" s="58"/>
      <c r="J374" s="69"/>
      <c r="K374" s="70"/>
      <c r="L374" s="69"/>
    </row>
    <row r="375" s="54" customFormat="1" ht="12.75" spans="1:12">
      <c r="A375" s="37"/>
      <c r="B375" s="37"/>
      <c r="C375" s="67"/>
      <c r="D375" s="67"/>
      <c r="E375" s="37"/>
      <c r="F375" s="37"/>
      <c r="G375" s="58"/>
      <c r="H375" s="59"/>
      <c r="I375" s="58"/>
      <c r="J375" s="69"/>
      <c r="K375" s="70"/>
      <c r="L375" s="69"/>
    </row>
    <row r="376" s="37" customFormat="1" ht="12.75" spans="1:12">
      <c r="C376" s="67"/>
      <c r="D376" s="67"/>
      <c r="G376" s="58"/>
      <c r="H376" s="59"/>
      <c r="I376" s="58"/>
      <c r="J376" s="67"/>
      <c r="K376" s="68"/>
      <c r="L376" s="67"/>
    </row>
    <row r="377" s="37" customFormat="1" ht="12.75" spans="1:12">
      <c r="C377" s="67"/>
      <c r="D377" s="67"/>
      <c r="G377" s="58"/>
      <c r="H377" s="59"/>
      <c r="I377" s="58"/>
      <c r="J377" s="67"/>
      <c r="K377" s="68"/>
      <c r="L377" s="67"/>
    </row>
    <row r="378" s="37" customFormat="1" ht="12.75" spans="1:12">
      <c r="C378" s="67"/>
      <c r="D378" s="67"/>
      <c r="G378" s="58"/>
      <c r="H378" s="59"/>
      <c r="I378" s="58"/>
      <c r="J378" s="67"/>
      <c r="K378" s="68"/>
      <c r="L378" s="67"/>
    </row>
    <row r="379" s="37" customFormat="1" ht="12.75" spans="1:12">
      <c r="C379" s="67"/>
      <c r="D379" s="67"/>
      <c r="G379" s="58"/>
      <c r="H379" s="59"/>
      <c r="I379" s="58"/>
      <c r="J379" s="67"/>
      <c r="K379" s="68"/>
      <c r="L379" s="67"/>
    </row>
    <row r="380" s="37" customFormat="1" ht="12.75" spans="1:12">
      <c r="C380" s="67"/>
      <c r="D380" s="67"/>
      <c r="G380" s="58"/>
      <c r="H380" s="59"/>
      <c r="I380" s="58"/>
      <c r="J380" s="67"/>
      <c r="K380" s="68"/>
      <c r="L380" s="67"/>
    </row>
    <row r="381" s="37" customFormat="1" ht="12.75" spans="1:12">
      <c r="C381" s="67"/>
      <c r="D381" s="67"/>
      <c r="G381" s="58"/>
      <c r="H381" s="59"/>
      <c r="I381" s="58"/>
      <c r="J381" s="67"/>
      <c r="K381" s="68"/>
      <c r="L381" s="67"/>
    </row>
    <row r="382" s="54" customFormat="1" ht="12.75" spans="1:12">
      <c r="A382" s="37"/>
      <c r="B382" s="37"/>
      <c r="C382" s="67"/>
      <c r="D382" s="67"/>
      <c r="E382" s="37"/>
      <c r="F382" s="37"/>
      <c r="G382" s="58"/>
      <c r="H382" s="59"/>
      <c r="I382" s="58"/>
      <c r="J382" s="69"/>
      <c r="K382" s="70"/>
      <c r="L382" s="69"/>
    </row>
    <row r="383" s="54" customFormat="1" ht="12.75" spans="1:12">
      <c r="A383" s="37"/>
      <c r="B383" s="37"/>
      <c r="C383" s="67"/>
      <c r="D383" s="67"/>
      <c r="E383" s="37"/>
      <c r="F383" s="37"/>
      <c r="G383" s="58"/>
      <c r="H383" s="59"/>
      <c r="I383" s="58"/>
      <c r="J383" s="69"/>
      <c r="K383" s="70"/>
      <c r="L383" s="69"/>
    </row>
    <row r="384" s="54" customFormat="1" ht="12.75" spans="1:12">
      <c r="A384" s="37"/>
      <c r="B384" s="37"/>
      <c r="C384" s="67"/>
      <c r="D384" s="67"/>
      <c r="E384" s="37"/>
      <c r="F384" s="37"/>
      <c r="G384" s="58"/>
      <c r="H384" s="59"/>
      <c r="I384" s="58"/>
      <c r="J384" s="69"/>
      <c r="K384" s="70"/>
      <c r="L384" s="69"/>
    </row>
    <row r="385" s="37" customFormat="1" ht="12.75" spans="1:13">
      <c r="C385" s="67"/>
      <c r="D385" s="67"/>
      <c r="G385" s="58"/>
      <c r="H385" s="59"/>
      <c r="I385" s="58"/>
      <c r="J385" s="67"/>
      <c r="K385" s="68"/>
      <c r="L385" s="67"/>
    </row>
    <row r="386" s="37" customFormat="1" ht="12.75" spans="1:13">
      <c r="C386" s="67"/>
      <c r="D386" s="67"/>
      <c r="G386" s="58"/>
      <c r="H386" s="59"/>
      <c r="I386" s="58"/>
      <c r="J386" s="67"/>
      <c r="K386" s="68"/>
      <c r="L386" s="67"/>
    </row>
    <row r="387" s="37" customFormat="1" ht="12.75" spans="1:13">
      <c r="C387" s="67"/>
      <c r="D387" s="67"/>
      <c r="G387" s="58"/>
      <c r="H387" s="59"/>
      <c r="I387" s="58"/>
      <c r="J387" s="67"/>
      <c r="K387" s="68"/>
      <c r="L387" s="67"/>
    </row>
    <row r="388" s="37" customFormat="1" ht="12.75" spans="1:13">
      <c r="C388" s="67"/>
      <c r="D388" s="67"/>
      <c r="G388" s="58"/>
      <c r="H388" s="59"/>
      <c r="I388" s="58"/>
      <c r="J388" s="67"/>
      <c r="K388" s="68"/>
      <c r="L388" s="67"/>
    </row>
    <row r="389" s="37" customFormat="1" ht="12.75" spans="1:13">
      <c r="C389" s="67"/>
      <c r="D389" s="67"/>
      <c r="G389" s="58"/>
      <c r="H389" s="59"/>
      <c r="I389" s="58"/>
      <c r="J389" s="67"/>
      <c r="K389" s="68"/>
      <c r="L389" s="67"/>
      <c r="M389" s="72"/>
    </row>
    <row r="390" s="54" customFormat="1" ht="12.75" spans="1:13">
      <c r="A390" s="37"/>
      <c r="B390" s="37"/>
      <c r="C390" s="67"/>
      <c r="D390" s="67"/>
      <c r="E390" s="37"/>
      <c r="F390" s="37"/>
      <c r="G390" s="58"/>
      <c r="H390" s="59"/>
      <c r="I390" s="58"/>
      <c r="J390" s="69"/>
      <c r="K390" s="70"/>
      <c r="L390" s="69"/>
    </row>
    <row r="391" s="54" customFormat="1" ht="12.75" spans="1:13">
      <c r="A391" s="37"/>
      <c r="B391" s="37"/>
      <c r="C391" s="67"/>
      <c r="D391" s="67"/>
      <c r="E391" s="37"/>
      <c r="F391" s="37"/>
      <c r="G391" s="58"/>
      <c r="H391" s="59"/>
      <c r="I391" s="58"/>
      <c r="J391" s="69"/>
      <c r="K391" s="70"/>
      <c r="L391" s="69"/>
    </row>
    <row r="392" s="37" customFormat="1" ht="12.75" spans="1:13">
      <c r="C392" s="67"/>
      <c r="D392" s="67"/>
      <c r="G392" s="58"/>
      <c r="H392" s="59"/>
      <c r="I392" s="58"/>
      <c r="J392" s="67"/>
      <c r="K392" s="68"/>
      <c r="L392" s="67"/>
    </row>
    <row r="393" s="37" customFormat="1" ht="12.75" spans="1:13">
      <c r="C393" s="67"/>
      <c r="D393" s="67"/>
      <c r="G393" s="58"/>
      <c r="H393" s="59"/>
      <c r="I393" s="58"/>
      <c r="J393" s="67"/>
      <c r="K393" s="68"/>
      <c r="L393" s="67"/>
    </row>
    <row r="394" s="37" customFormat="1" ht="12.75" spans="1:13">
      <c r="C394" s="67"/>
      <c r="D394" s="67"/>
      <c r="G394" s="58"/>
      <c r="H394" s="59"/>
      <c r="I394" s="58"/>
      <c r="J394" s="67"/>
      <c r="K394" s="68"/>
      <c r="L394" s="67"/>
    </row>
    <row r="395" s="37" customFormat="1" ht="12.75" spans="1:13">
      <c r="C395" s="67"/>
      <c r="D395" s="67"/>
      <c r="G395" s="58"/>
      <c r="H395" s="59"/>
      <c r="I395" s="58"/>
      <c r="J395" s="67"/>
      <c r="K395" s="68"/>
      <c r="L395" s="67"/>
    </row>
    <row r="396" s="37" customFormat="1" ht="12.75" spans="1:13">
      <c r="C396" s="67"/>
      <c r="D396" s="67"/>
      <c r="G396" s="58"/>
      <c r="H396" s="59"/>
      <c r="I396" s="58"/>
      <c r="J396" s="67"/>
      <c r="K396" s="68"/>
      <c r="L396" s="67"/>
    </row>
    <row r="397" s="54" customFormat="1" ht="12.75" spans="1:13">
      <c r="A397" s="37"/>
      <c r="B397" s="37"/>
      <c r="C397" s="67"/>
      <c r="D397" s="67"/>
      <c r="E397" s="37"/>
      <c r="F397" s="37"/>
      <c r="G397" s="58"/>
      <c r="H397" s="59"/>
      <c r="I397" s="58"/>
      <c r="J397" s="69"/>
      <c r="K397" s="70"/>
      <c r="L397" s="69"/>
    </row>
    <row r="398" s="54" customFormat="1" ht="12.75" spans="1:13">
      <c r="A398" s="37"/>
      <c r="B398" s="37"/>
      <c r="C398" s="67"/>
      <c r="D398" s="67"/>
      <c r="E398" s="37"/>
      <c r="F398" s="37"/>
      <c r="G398" s="58"/>
      <c r="H398" s="59"/>
      <c r="I398" s="58"/>
      <c r="J398" s="69"/>
      <c r="K398" s="70"/>
      <c r="L398" s="69"/>
    </row>
    <row r="399" s="54" customFormat="1" ht="12.75" spans="1:13">
      <c r="A399" s="37"/>
      <c r="B399" s="37"/>
      <c r="C399" s="67"/>
      <c r="D399" s="67"/>
      <c r="E399" s="37"/>
      <c r="F399" s="37"/>
      <c r="G399" s="58"/>
      <c r="H399" s="59"/>
      <c r="I399" s="58"/>
      <c r="J399" s="69"/>
      <c r="K399" s="70"/>
      <c r="L399" s="69"/>
    </row>
    <row r="400" s="54" customFormat="1" ht="12.75" spans="1:13">
      <c r="A400" s="37"/>
      <c r="B400" s="37"/>
      <c r="C400" s="67"/>
      <c r="D400" s="67"/>
      <c r="E400" s="37"/>
      <c r="F400" s="37"/>
      <c r="G400" s="58"/>
      <c r="H400" s="59"/>
      <c r="I400" s="58"/>
      <c r="J400" s="69"/>
      <c r="K400" s="70"/>
      <c r="L400" s="69"/>
    </row>
    <row r="401" s="37" customFormat="1" ht="12.75" spans="1:12">
      <c r="C401" s="67"/>
      <c r="D401" s="67"/>
      <c r="G401" s="58"/>
      <c r="H401" s="59"/>
      <c r="I401" s="58"/>
      <c r="J401" s="67"/>
      <c r="K401" s="68"/>
      <c r="L401" s="67"/>
    </row>
    <row r="402" s="37" customFormat="1" ht="12.75" spans="1:12">
      <c r="C402" s="67"/>
      <c r="D402" s="67"/>
      <c r="G402" s="58"/>
      <c r="H402" s="59"/>
      <c r="I402" s="58"/>
      <c r="J402" s="67"/>
      <c r="K402" s="68"/>
      <c r="L402" s="67"/>
    </row>
    <row r="403" s="37" customFormat="1" ht="12.75" spans="1:12">
      <c r="C403" s="67"/>
      <c r="D403" s="67"/>
      <c r="G403" s="58"/>
      <c r="H403" s="59"/>
      <c r="I403" s="58"/>
      <c r="J403" s="67"/>
      <c r="K403" s="68"/>
      <c r="L403" s="67"/>
    </row>
    <row r="404" s="37" customFormat="1" ht="12.75" spans="1:12">
      <c r="C404" s="67"/>
      <c r="D404" s="67"/>
      <c r="G404" s="58"/>
      <c r="H404" s="59"/>
      <c r="I404" s="58"/>
      <c r="J404" s="67"/>
      <c r="K404" s="68"/>
      <c r="L404" s="67"/>
    </row>
    <row r="405" s="37" customFormat="1" ht="12.75" spans="1:12">
      <c r="C405" s="67"/>
      <c r="D405" s="67"/>
      <c r="G405" s="58"/>
      <c r="H405" s="59"/>
      <c r="I405" s="58"/>
      <c r="J405" s="67"/>
      <c r="K405" s="68"/>
      <c r="L405" s="67"/>
    </row>
    <row r="406" s="54" customFormat="1" ht="12.75" spans="1:12">
      <c r="A406" s="37"/>
      <c r="B406" s="37"/>
      <c r="C406" s="67"/>
      <c r="D406" s="67"/>
      <c r="E406" s="37"/>
      <c r="F406" s="37"/>
      <c r="G406" s="58"/>
      <c r="H406" s="59"/>
      <c r="I406" s="58"/>
      <c r="J406" s="69"/>
      <c r="K406" s="70"/>
      <c r="L406" s="69"/>
    </row>
    <row r="407" s="54" customFormat="1" ht="12.75" spans="1:12">
      <c r="A407" s="37"/>
      <c r="B407" s="37"/>
      <c r="C407" s="67"/>
      <c r="D407" s="67"/>
      <c r="E407" s="37"/>
      <c r="F407" s="37"/>
      <c r="G407" s="58"/>
      <c r="H407" s="59"/>
      <c r="I407" s="58"/>
      <c r="J407" s="69"/>
      <c r="K407" s="70"/>
      <c r="L407" s="69"/>
    </row>
    <row r="408" s="37" customFormat="1" ht="12.75" spans="1:12">
      <c r="C408" s="67"/>
      <c r="D408" s="67"/>
      <c r="G408" s="58"/>
      <c r="H408" s="59"/>
      <c r="I408" s="58"/>
      <c r="J408" s="67"/>
      <c r="K408" s="68"/>
      <c r="L408" s="67"/>
    </row>
    <row r="409" s="37" customFormat="1" ht="12.75" spans="1:12">
      <c r="C409" s="67"/>
      <c r="D409" s="67"/>
      <c r="G409" s="58"/>
      <c r="H409" s="59"/>
      <c r="I409" s="58"/>
      <c r="J409" s="67"/>
      <c r="K409" s="68"/>
      <c r="L409" s="67"/>
    </row>
    <row r="410" s="37" customFormat="1" ht="12.75" spans="1:12">
      <c r="C410" s="67"/>
      <c r="D410" s="67"/>
      <c r="G410" s="58"/>
      <c r="H410" s="59"/>
      <c r="I410" s="58"/>
      <c r="J410" s="67"/>
      <c r="K410" s="68"/>
      <c r="L410" s="67"/>
    </row>
    <row r="411" s="37" customFormat="1" ht="12.75" spans="1:12">
      <c r="C411" s="67"/>
      <c r="D411" s="67"/>
      <c r="G411" s="58"/>
      <c r="H411" s="59"/>
      <c r="I411" s="58"/>
      <c r="J411" s="67"/>
      <c r="K411" s="68"/>
      <c r="L411" s="67"/>
    </row>
    <row r="412" s="37" customFormat="1" ht="12.75" spans="1:12">
      <c r="C412" s="67"/>
      <c r="D412" s="67"/>
      <c r="G412" s="58"/>
      <c r="H412" s="59"/>
      <c r="I412" s="58"/>
      <c r="J412" s="67"/>
      <c r="K412" s="68"/>
      <c r="L412" s="67"/>
    </row>
    <row r="413" s="54" customFormat="1" ht="12.75" spans="1:12">
      <c r="A413" s="37"/>
      <c r="B413" s="37"/>
      <c r="C413" s="67"/>
      <c r="D413" s="67"/>
      <c r="E413" s="37"/>
      <c r="F413" s="37"/>
      <c r="G413" s="58"/>
      <c r="H413" s="59"/>
      <c r="I413" s="58"/>
      <c r="J413" s="69"/>
      <c r="K413" s="70"/>
      <c r="L413" s="69"/>
    </row>
    <row r="414" s="54" customFormat="1" ht="12.75" spans="1:12">
      <c r="A414" s="37"/>
      <c r="B414" s="37"/>
      <c r="C414" s="67"/>
      <c r="D414" s="67"/>
      <c r="E414" s="37"/>
      <c r="F414" s="37"/>
      <c r="G414" s="58"/>
      <c r="H414" s="59"/>
      <c r="I414" s="58"/>
      <c r="J414" s="69"/>
      <c r="K414" s="70"/>
      <c r="L414" s="69"/>
    </row>
    <row r="415" s="54" customFormat="1" ht="12.75" spans="1:12">
      <c r="A415" s="37"/>
      <c r="B415" s="37"/>
      <c r="C415" s="67"/>
      <c r="D415" s="67"/>
      <c r="E415" s="37"/>
      <c r="F415" s="37"/>
      <c r="G415" s="58"/>
      <c r="H415" s="59"/>
      <c r="I415" s="58"/>
      <c r="J415" s="69"/>
      <c r="K415" s="70"/>
      <c r="L415" s="69"/>
    </row>
    <row r="416" s="37" customFormat="1" ht="12.75" spans="1:12">
      <c r="C416" s="67"/>
      <c r="D416" s="67"/>
      <c r="G416" s="58"/>
      <c r="H416" s="59"/>
      <c r="I416" s="58"/>
      <c r="J416" s="67"/>
      <c r="K416" s="68"/>
      <c r="L416" s="67"/>
    </row>
    <row r="417" s="37" customFormat="1" ht="12.75" spans="1:12">
      <c r="C417" s="67"/>
      <c r="D417" s="67"/>
      <c r="G417" s="58"/>
      <c r="H417" s="59"/>
      <c r="I417" s="58"/>
      <c r="J417" s="67"/>
      <c r="K417" s="68"/>
      <c r="L417" s="67"/>
    </row>
    <row r="418" s="37" customFormat="1" ht="12.75" spans="1:12">
      <c r="C418" s="67"/>
      <c r="D418" s="67"/>
      <c r="G418" s="58"/>
      <c r="H418" s="59"/>
      <c r="I418" s="58"/>
      <c r="J418" s="67"/>
      <c r="K418" s="68"/>
      <c r="L418" s="67"/>
    </row>
    <row r="419" s="37" customFormat="1" ht="12.75" spans="1:12">
      <c r="C419" s="67"/>
      <c r="D419" s="67"/>
      <c r="G419" s="58"/>
      <c r="H419" s="59"/>
      <c r="I419" s="58"/>
      <c r="J419" s="67"/>
      <c r="K419" s="68"/>
      <c r="L419" s="67"/>
    </row>
    <row r="420" s="37" customFormat="1" ht="12.75" spans="1:12">
      <c r="C420" s="67"/>
      <c r="D420" s="67"/>
      <c r="G420" s="58"/>
      <c r="H420" s="59"/>
      <c r="I420" s="58"/>
      <c r="J420" s="67"/>
      <c r="K420" s="68"/>
      <c r="L420" s="67"/>
    </row>
    <row r="421" s="54" customFormat="1" ht="12.75" spans="1:12">
      <c r="A421" s="37"/>
      <c r="B421" s="37"/>
      <c r="C421" s="67"/>
      <c r="D421" s="67"/>
      <c r="E421" s="37"/>
      <c r="F421" s="37"/>
      <c r="G421" s="58"/>
      <c r="H421" s="59"/>
      <c r="I421" s="58"/>
      <c r="J421" s="69"/>
      <c r="K421" s="70"/>
      <c r="L421" s="69"/>
    </row>
    <row r="422" s="54" customFormat="1" ht="12.75" spans="1:12">
      <c r="A422" s="37"/>
      <c r="B422" s="37"/>
      <c r="C422" s="67"/>
      <c r="D422" s="67"/>
      <c r="E422" s="37"/>
      <c r="F422" s="37"/>
      <c r="G422" s="58"/>
      <c r="H422" s="59"/>
      <c r="I422" s="58"/>
      <c r="J422" s="69"/>
      <c r="K422" s="70"/>
      <c r="L422" s="69"/>
    </row>
    <row r="423" s="54" customFormat="1" ht="12.75" spans="1:12">
      <c r="A423" s="37"/>
      <c r="B423" s="37"/>
      <c r="C423" s="67"/>
      <c r="D423" s="67"/>
      <c r="E423" s="37"/>
      <c r="F423" s="37"/>
      <c r="G423" s="58"/>
      <c r="H423" s="59"/>
      <c r="I423" s="58"/>
      <c r="J423" s="69"/>
      <c r="K423" s="70"/>
      <c r="L423" s="69"/>
    </row>
    <row r="424" s="37" customFormat="1" ht="12.75" spans="1:12">
      <c r="C424" s="67"/>
      <c r="D424" s="67"/>
      <c r="G424" s="58"/>
      <c r="H424" s="59"/>
      <c r="I424" s="58"/>
      <c r="J424" s="67"/>
      <c r="K424" s="68"/>
      <c r="L424" s="67"/>
    </row>
    <row r="425" s="37" customFormat="1" ht="12.75" spans="1:12">
      <c r="C425" s="67"/>
      <c r="D425" s="67"/>
      <c r="G425" s="58"/>
      <c r="H425" s="59"/>
      <c r="I425" s="58"/>
      <c r="J425" s="67"/>
      <c r="K425" s="68"/>
      <c r="L425" s="67"/>
    </row>
    <row r="426" s="37" customFormat="1" ht="12.75" spans="1:12">
      <c r="C426" s="67"/>
      <c r="D426" s="67"/>
      <c r="G426" s="58"/>
      <c r="H426" s="59"/>
      <c r="I426" s="58"/>
      <c r="J426" s="67"/>
      <c r="K426" s="68"/>
      <c r="L426" s="67"/>
    </row>
    <row r="427" s="37" customFormat="1" ht="12.75" spans="1:12">
      <c r="C427" s="67"/>
      <c r="D427" s="67"/>
      <c r="G427" s="58"/>
      <c r="H427" s="59"/>
      <c r="I427" s="58"/>
      <c r="J427" s="67"/>
      <c r="K427" s="68"/>
      <c r="L427" s="67"/>
    </row>
    <row r="428" s="37" customFormat="1" ht="12.75" spans="1:12">
      <c r="C428" s="67"/>
      <c r="D428" s="67"/>
      <c r="G428" s="58"/>
      <c r="H428" s="59"/>
      <c r="I428" s="58"/>
      <c r="J428" s="67"/>
      <c r="K428" s="68"/>
      <c r="L428" s="67"/>
    </row>
    <row r="429" s="54" customFormat="1" ht="12.75" spans="1:12">
      <c r="A429" s="37"/>
      <c r="B429" s="37"/>
      <c r="C429" s="67"/>
      <c r="D429" s="67"/>
      <c r="E429" s="37"/>
      <c r="F429" s="37"/>
      <c r="G429" s="58"/>
      <c r="H429" s="59"/>
      <c r="I429" s="58"/>
      <c r="J429" s="69"/>
      <c r="K429" s="70"/>
      <c r="L429" s="69"/>
    </row>
    <row r="430" s="54" customFormat="1" ht="12.75" spans="1:12">
      <c r="A430" s="37"/>
      <c r="B430" s="37"/>
      <c r="C430" s="67"/>
      <c r="D430" s="67"/>
      <c r="E430" s="37"/>
      <c r="F430" s="37"/>
      <c r="G430" s="58"/>
      <c r="H430" s="59"/>
      <c r="I430" s="58"/>
      <c r="J430" s="69"/>
      <c r="K430" s="70"/>
      <c r="L430" s="69"/>
    </row>
    <row r="431" s="54" customFormat="1" ht="12.75" spans="1:12">
      <c r="A431" s="37"/>
      <c r="B431" s="37"/>
      <c r="C431" s="67"/>
      <c r="D431" s="67"/>
      <c r="E431" s="37"/>
      <c r="F431" s="37"/>
      <c r="G431" s="58"/>
      <c r="H431" s="59"/>
      <c r="I431" s="58"/>
      <c r="J431" s="69"/>
      <c r="K431" s="70"/>
      <c r="L431" s="69"/>
    </row>
    <row r="432" s="54" customFormat="1" ht="12.75" spans="1:12">
      <c r="A432" s="37"/>
      <c r="B432" s="37"/>
      <c r="C432" s="67"/>
      <c r="D432" s="67"/>
      <c r="E432" s="37"/>
      <c r="F432" s="37"/>
      <c r="G432" s="58"/>
      <c r="H432" s="59"/>
      <c r="I432" s="58"/>
      <c r="J432" s="69"/>
      <c r="K432" s="70"/>
      <c r="L432" s="69"/>
    </row>
    <row r="433" s="54" customFormat="1" ht="12.75" spans="1:14">
      <c r="A433" s="37"/>
      <c r="B433" s="37"/>
      <c r="C433" s="67"/>
      <c r="D433" s="67"/>
      <c r="E433" s="37"/>
      <c r="F433" s="37"/>
      <c r="G433" s="58"/>
      <c r="H433" s="59"/>
      <c r="I433" s="58"/>
      <c r="J433" s="69"/>
      <c r="K433" s="70"/>
      <c r="L433" s="69"/>
    </row>
    <row r="434" s="37" customFormat="1" ht="12.75" spans="1:14">
      <c r="C434" s="67"/>
      <c r="D434" s="67"/>
      <c r="G434" s="58"/>
      <c r="H434" s="59"/>
      <c r="I434" s="58"/>
      <c r="J434" s="67"/>
      <c r="K434" s="68"/>
      <c r="L434" s="67"/>
    </row>
    <row r="435" s="37" customFormat="1" ht="12.75" spans="1:14">
      <c r="C435" s="67"/>
      <c r="D435" s="67"/>
      <c r="G435" s="58"/>
      <c r="H435" s="59"/>
      <c r="I435" s="58"/>
      <c r="J435" s="67"/>
      <c r="K435" s="68"/>
      <c r="L435" s="67"/>
    </row>
    <row r="436" s="37" customFormat="1" ht="12.75" spans="1:14">
      <c r="C436" s="67"/>
      <c r="D436" s="67"/>
      <c r="G436" s="58"/>
      <c r="H436" s="59"/>
      <c r="I436" s="58"/>
      <c r="J436" s="67"/>
      <c r="K436" s="68"/>
      <c r="L436" s="67"/>
    </row>
    <row r="437" s="37" customFormat="1" ht="12.75" spans="1:14">
      <c r="C437" s="67"/>
      <c r="D437" s="67"/>
      <c r="G437" s="58"/>
      <c r="H437" s="59"/>
      <c r="I437" s="58"/>
      <c r="J437" s="67"/>
      <c r="K437" s="68"/>
      <c r="L437" s="67"/>
    </row>
    <row r="438" s="37" customFormat="1" ht="12.75" spans="1:14">
      <c r="C438" s="67"/>
      <c r="D438" s="67"/>
      <c r="G438" s="58"/>
      <c r="H438" s="59"/>
      <c r="I438" s="58"/>
      <c r="J438" s="67"/>
      <c r="K438" s="68"/>
      <c r="L438" s="67"/>
    </row>
    <row r="439" s="54" customFormat="1" ht="12.75" spans="1:14">
      <c r="A439" s="37"/>
      <c r="B439" s="37"/>
      <c r="C439" s="67"/>
      <c r="D439" s="67"/>
      <c r="E439" s="37"/>
      <c r="F439" s="37"/>
      <c r="G439" s="58"/>
      <c r="H439" s="59"/>
      <c r="I439" s="58"/>
      <c r="J439" s="69"/>
      <c r="K439" s="70"/>
      <c r="L439" s="69"/>
    </row>
    <row r="440" s="54" customFormat="1" ht="12.75" spans="1:14">
      <c r="A440" s="37"/>
      <c r="B440" s="37"/>
      <c r="C440" s="67"/>
      <c r="D440" s="67"/>
      <c r="E440" s="37"/>
      <c r="F440" s="37"/>
      <c r="G440" s="58"/>
      <c r="H440" s="59"/>
      <c r="I440" s="58"/>
      <c r="J440" s="69"/>
      <c r="K440" s="70"/>
      <c r="L440" s="69"/>
    </row>
    <row r="441" s="54" customFormat="1" ht="12.75" spans="1:14">
      <c r="A441" s="37"/>
      <c r="B441" s="37"/>
      <c r="C441" s="67"/>
      <c r="D441" s="67"/>
      <c r="E441" s="37"/>
      <c r="F441" s="37"/>
      <c r="G441" s="58"/>
      <c r="H441" s="59"/>
      <c r="I441" s="58"/>
      <c r="J441" s="69"/>
      <c r="K441" s="70"/>
      <c r="L441" s="69"/>
    </row>
    <row r="442" s="54" customFormat="1" ht="12.75" spans="1:14">
      <c r="A442" s="37"/>
      <c r="B442" s="37"/>
      <c r="C442" s="67"/>
      <c r="D442" s="67"/>
      <c r="E442" s="37"/>
      <c r="F442" s="37"/>
      <c r="G442" s="58"/>
      <c r="H442" s="59"/>
      <c r="I442" s="58"/>
      <c r="J442" s="69"/>
      <c r="K442" s="70"/>
      <c r="L442" s="69"/>
    </row>
    <row r="443" s="37" customFormat="1" ht="12.75" spans="1:14">
      <c r="C443" s="67"/>
      <c r="D443" s="67"/>
      <c r="G443" s="58"/>
      <c r="H443" s="59"/>
      <c r="I443" s="58"/>
      <c r="J443" s="67"/>
      <c r="K443" s="68"/>
      <c r="L443" s="67"/>
      <c r="N443" s="62"/>
    </row>
    <row r="444" s="37" customFormat="1" ht="12.75" spans="1:14">
      <c r="C444" s="67"/>
      <c r="D444" s="67"/>
      <c r="G444" s="58"/>
      <c r="H444" s="59"/>
      <c r="I444" s="58"/>
      <c r="J444" s="67"/>
      <c r="K444" s="68"/>
      <c r="L444" s="67"/>
      <c r="N444" s="62"/>
    </row>
    <row r="445" s="37" customFormat="1" ht="12.75" spans="1:14">
      <c r="C445" s="67"/>
      <c r="D445" s="67"/>
      <c r="G445" s="58"/>
      <c r="H445" s="59"/>
      <c r="I445" s="58"/>
      <c r="J445" s="67"/>
      <c r="K445" s="68"/>
      <c r="L445" s="67"/>
      <c r="N445" s="62"/>
    </row>
    <row r="446" s="37" customFormat="1" ht="12.75" spans="1:14">
      <c r="C446" s="67"/>
      <c r="D446" s="67"/>
      <c r="G446" s="58"/>
      <c r="H446" s="59"/>
      <c r="I446" s="58"/>
      <c r="J446" s="67"/>
      <c r="K446" s="68"/>
      <c r="L446" s="67"/>
      <c r="N446" s="62"/>
    </row>
    <row r="447" s="37" customFormat="1" ht="12.75" spans="1:14">
      <c r="C447" s="67"/>
      <c r="D447" s="67"/>
      <c r="G447" s="58"/>
      <c r="H447" s="59"/>
      <c r="I447" s="58"/>
      <c r="J447" s="67"/>
      <c r="K447" s="68"/>
      <c r="L447" s="67"/>
      <c r="N447" s="62"/>
    </row>
    <row r="448" s="54" customFormat="1" ht="12.75" spans="1:14">
      <c r="A448" s="37"/>
      <c r="B448" s="37"/>
      <c r="C448" s="67"/>
      <c r="D448" s="67"/>
      <c r="E448" s="37"/>
      <c r="F448" s="37"/>
      <c r="G448" s="58"/>
      <c r="H448" s="59"/>
      <c r="I448" s="58"/>
      <c r="J448" s="69"/>
      <c r="K448" s="70"/>
      <c r="L448" s="69"/>
      <c r="N448" s="77"/>
    </row>
    <row r="449" s="54" customFormat="1" ht="12.75" spans="1:14">
      <c r="A449" s="37"/>
      <c r="B449" s="37"/>
      <c r="C449" s="67"/>
      <c r="D449" s="67"/>
      <c r="E449" s="37"/>
      <c r="F449" s="37"/>
      <c r="G449" s="58"/>
      <c r="H449" s="59"/>
      <c r="I449" s="58"/>
      <c r="J449" s="69"/>
      <c r="K449" s="70"/>
      <c r="L449" s="69"/>
      <c r="N449" s="77"/>
    </row>
    <row r="450" s="54" customFormat="1" ht="12.75" spans="1:14">
      <c r="A450" s="37"/>
      <c r="B450" s="37"/>
      <c r="C450" s="67"/>
      <c r="D450" s="67"/>
      <c r="E450" s="37"/>
      <c r="F450" s="37"/>
      <c r="G450" s="58"/>
      <c r="H450" s="59"/>
      <c r="I450" s="58"/>
      <c r="J450" s="69"/>
      <c r="K450" s="70"/>
      <c r="L450" s="69"/>
      <c r="N450" s="77"/>
    </row>
    <row r="451" s="37" customFormat="1" ht="12.75" spans="1:14">
      <c r="C451" s="67"/>
      <c r="D451" s="67"/>
      <c r="G451" s="58"/>
      <c r="H451" s="59"/>
      <c r="I451" s="58"/>
      <c r="J451" s="67"/>
      <c r="K451" s="68"/>
      <c r="L451" s="67"/>
    </row>
    <row r="452" s="37" customFormat="1" ht="12.75" spans="1:14">
      <c r="C452" s="67"/>
      <c r="D452" s="67"/>
      <c r="G452" s="58"/>
      <c r="H452" s="59"/>
      <c r="I452" s="58"/>
      <c r="J452" s="67"/>
      <c r="K452" s="68"/>
      <c r="L452" s="67"/>
    </row>
    <row r="453" s="37" customFormat="1" ht="12.75" spans="1:14">
      <c r="C453" s="67"/>
      <c r="D453" s="67"/>
      <c r="G453" s="58"/>
      <c r="H453" s="59"/>
      <c r="I453" s="58"/>
      <c r="J453" s="67"/>
      <c r="K453" s="68"/>
      <c r="L453" s="67"/>
    </row>
    <row r="454" s="37" customFormat="1" ht="12.75" spans="1:14">
      <c r="C454" s="67"/>
      <c r="D454" s="67"/>
      <c r="G454" s="58"/>
      <c r="H454" s="59"/>
      <c r="I454" s="58"/>
      <c r="J454" s="67"/>
      <c r="K454" s="68"/>
      <c r="L454" s="67"/>
    </row>
    <row r="455" s="37" customFormat="1" ht="12.75" spans="1:14">
      <c r="C455" s="67"/>
      <c r="D455" s="67"/>
      <c r="G455" s="58"/>
      <c r="H455" s="59"/>
      <c r="I455" s="58"/>
      <c r="J455" s="67"/>
      <c r="K455" s="68"/>
      <c r="L455" s="67"/>
    </row>
    <row r="456" s="54" customFormat="1" ht="12.75" spans="1:14">
      <c r="A456" s="37"/>
      <c r="B456" s="37"/>
      <c r="C456" s="37"/>
      <c r="D456" s="37"/>
      <c r="E456" s="37"/>
      <c r="F456" s="37"/>
      <c r="G456" s="58"/>
      <c r="H456" s="59"/>
      <c r="I456" s="58"/>
      <c r="J456" s="69"/>
      <c r="K456" s="70"/>
      <c r="L456" s="69"/>
    </row>
    <row r="457" s="54" customFormat="1" ht="12.75" spans="1:14">
      <c r="A457" s="37"/>
      <c r="B457" s="37"/>
      <c r="C457" s="37"/>
      <c r="D457" s="37"/>
      <c r="E457" s="37"/>
      <c r="F457" s="37"/>
      <c r="G457" s="58"/>
      <c r="H457" s="59"/>
      <c r="I457" s="58"/>
      <c r="J457" s="69"/>
      <c r="K457" s="70"/>
      <c r="L457" s="69"/>
    </row>
    <row r="458" s="54" customFormat="1" ht="12.75" spans="1:14">
      <c r="A458" s="37"/>
      <c r="B458" s="37"/>
      <c r="C458" s="37"/>
      <c r="D458" s="37"/>
      <c r="E458" s="37"/>
      <c r="F458" s="37"/>
      <c r="G458" s="58"/>
      <c r="H458" s="59"/>
      <c r="I458" s="58"/>
      <c r="J458" s="69"/>
      <c r="K458" s="70"/>
      <c r="L458" s="69"/>
    </row>
    <row r="459" s="37" customFormat="1" ht="12.75" spans="1:14">
      <c r="G459" s="58"/>
      <c r="H459" s="59"/>
      <c r="I459" s="58"/>
      <c r="J459" s="67"/>
      <c r="K459" s="68"/>
      <c r="L459" s="67"/>
    </row>
    <row r="460" s="37" customFormat="1" ht="12.75" spans="1:14">
      <c r="G460" s="58"/>
      <c r="H460" s="59"/>
      <c r="I460" s="58"/>
      <c r="J460" s="67"/>
      <c r="K460" s="68"/>
      <c r="L460" s="67"/>
    </row>
    <row r="461" s="37" customFormat="1" ht="12.75" spans="1:14">
      <c r="G461" s="58"/>
      <c r="H461" s="59"/>
      <c r="I461" s="58"/>
      <c r="J461" s="67"/>
      <c r="K461" s="68"/>
      <c r="L461" s="67"/>
    </row>
    <row r="462" s="37" customFormat="1" ht="12.75" spans="1:14">
      <c r="A462" s="54"/>
      <c r="B462" s="54"/>
      <c r="C462" s="54"/>
      <c r="D462" s="54"/>
      <c r="E462" s="54"/>
      <c r="G462" s="58"/>
      <c r="H462" s="59"/>
      <c r="I462" s="58"/>
      <c r="J462" s="67"/>
      <c r="K462" s="68"/>
      <c r="L462" s="67"/>
    </row>
    <row r="463" s="37" customFormat="1" ht="12.75" spans="1:14">
      <c r="A463" s="54"/>
      <c r="B463" s="54"/>
      <c r="C463" s="54"/>
      <c r="D463" s="54"/>
      <c r="E463" s="54"/>
      <c r="G463" s="58"/>
      <c r="H463" s="59"/>
      <c r="I463" s="58"/>
      <c r="J463" s="67"/>
      <c r="K463" s="68"/>
      <c r="L463" s="67"/>
    </row>
    <row r="464" s="54" customFormat="1" ht="12.75" spans="1:14">
      <c r="F464" s="37"/>
      <c r="G464" s="58"/>
      <c r="H464" s="59"/>
      <c r="I464" s="58"/>
      <c r="J464" s="69"/>
      <c r="K464" s="70"/>
      <c r="L464" s="69"/>
    </row>
    <row r="465" s="54" customFormat="1" ht="12.75" spans="1:12">
      <c r="F465" s="37"/>
      <c r="G465" s="58"/>
      <c r="H465" s="59"/>
      <c r="I465" s="58"/>
      <c r="J465" s="69"/>
      <c r="K465" s="70"/>
      <c r="L465" s="69"/>
    </row>
    <row r="466" s="54" customFormat="1" ht="12.75" spans="1:12">
      <c r="A466" s="37"/>
      <c r="B466" s="37"/>
      <c r="C466" s="37"/>
      <c r="D466" s="37"/>
      <c r="E466" s="37"/>
      <c r="F466" s="37"/>
      <c r="G466" s="58"/>
      <c r="H466" s="59"/>
      <c r="I466" s="58"/>
      <c r="J466" s="69"/>
      <c r="K466" s="70"/>
      <c r="L466" s="69"/>
    </row>
    <row r="467" s="37" customFormat="1" ht="12.75" spans="1:12">
      <c r="G467" s="58"/>
      <c r="H467" s="59"/>
      <c r="I467" s="58"/>
      <c r="J467" s="67"/>
      <c r="K467" s="68"/>
      <c r="L467" s="67"/>
    </row>
    <row r="468" s="37" customFormat="1" ht="12.75" spans="1:12">
      <c r="G468" s="58"/>
      <c r="H468" s="59"/>
      <c r="I468" s="58"/>
      <c r="J468" s="67"/>
      <c r="K468" s="68"/>
      <c r="L468" s="67"/>
    </row>
    <row r="469" s="37" customFormat="1" ht="12.75" spans="1:12">
      <c r="G469" s="58"/>
      <c r="H469" s="59"/>
      <c r="I469" s="58"/>
      <c r="J469" s="67"/>
      <c r="K469" s="68"/>
      <c r="L469" s="67"/>
    </row>
    <row r="470" s="37" customFormat="1" ht="12.75" spans="1:12">
      <c r="G470" s="58"/>
      <c r="H470" s="59"/>
      <c r="I470" s="58"/>
      <c r="J470" s="67"/>
      <c r="K470" s="68"/>
      <c r="L470" s="67"/>
    </row>
    <row r="471" s="37" customFormat="1" ht="12.75" spans="1:12">
      <c r="A471" s="54"/>
      <c r="B471" s="54"/>
      <c r="C471" s="54"/>
      <c r="D471" s="54"/>
      <c r="E471" s="54"/>
      <c r="G471" s="58"/>
      <c r="H471" s="59"/>
      <c r="I471" s="58"/>
      <c r="J471" s="67"/>
      <c r="K471" s="68"/>
      <c r="L471" s="67"/>
    </row>
    <row r="472" s="54" customFormat="1" ht="12.75" spans="1:12">
      <c r="F472" s="37"/>
      <c r="G472" s="58"/>
      <c r="H472" s="59"/>
      <c r="I472" s="58"/>
      <c r="J472" s="69"/>
      <c r="K472" s="70"/>
      <c r="L472" s="69"/>
    </row>
    <row r="473" s="54" customFormat="1" ht="12.75" spans="1:12">
      <c r="F473" s="37"/>
      <c r="G473" s="58"/>
      <c r="H473" s="59"/>
      <c r="I473" s="58"/>
      <c r="J473" s="69"/>
      <c r="K473" s="70"/>
      <c r="L473" s="69"/>
    </row>
    <row r="474" s="37" customFormat="1" ht="12.75" spans="1:12">
      <c r="A474" s="54"/>
      <c r="B474" s="54"/>
      <c r="C474" s="54"/>
      <c r="D474" s="54"/>
      <c r="E474" s="54"/>
      <c r="G474" s="58"/>
      <c r="H474" s="59"/>
      <c r="I474" s="58"/>
      <c r="J474" s="67"/>
      <c r="K474" s="68"/>
      <c r="L474" s="67"/>
    </row>
    <row r="475" s="37" customFormat="1" ht="12.75" spans="1:12">
      <c r="A475" s="54"/>
      <c r="B475" s="54"/>
      <c r="C475" s="54"/>
      <c r="D475" s="54"/>
      <c r="E475" s="54"/>
      <c r="G475" s="58"/>
      <c r="H475" s="59"/>
      <c r="I475" s="58"/>
      <c r="J475" s="67"/>
      <c r="K475" s="68"/>
      <c r="L475" s="67"/>
    </row>
    <row r="476" s="37" customFormat="1" ht="12.75" spans="1:12">
      <c r="G476" s="58"/>
      <c r="H476" s="59"/>
      <c r="I476" s="58"/>
      <c r="J476" s="67"/>
      <c r="K476" s="68"/>
      <c r="L476" s="67"/>
    </row>
    <row r="477" s="37" customFormat="1" ht="12.75" spans="1:12">
      <c r="G477" s="58"/>
      <c r="H477" s="59"/>
      <c r="I477" s="58"/>
      <c r="J477" s="67"/>
      <c r="K477" s="68"/>
      <c r="L477" s="67"/>
    </row>
    <row r="478" s="37" customFormat="1" ht="12.75" spans="1:12">
      <c r="G478" s="58"/>
      <c r="H478" s="59"/>
      <c r="I478" s="58"/>
      <c r="J478" s="67"/>
      <c r="K478" s="68"/>
      <c r="L478" s="67"/>
    </row>
    <row r="479" s="54" customFormat="1" ht="12.75" spans="1:12">
      <c r="A479" s="37"/>
      <c r="B479" s="37"/>
      <c r="C479" s="37"/>
      <c r="D479" s="37"/>
      <c r="E479" s="37"/>
      <c r="F479" s="37"/>
      <c r="G479" s="58"/>
      <c r="H479" s="59"/>
      <c r="I479" s="58"/>
      <c r="J479" s="69"/>
      <c r="K479" s="70"/>
      <c r="L479" s="69"/>
    </row>
    <row r="480" s="54" customFormat="1" ht="12.75" spans="1:12">
      <c r="A480" s="37"/>
      <c r="B480" s="37"/>
      <c r="C480" s="37"/>
      <c r="D480" s="37"/>
      <c r="E480" s="37"/>
      <c r="F480" s="37"/>
      <c r="G480" s="58"/>
      <c r="H480" s="59"/>
      <c r="I480" s="58"/>
      <c r="J480" s="69"/>
      <c r="K480" s="70"/>
      <c r="L480" s="69"/>
    </row>
    <row r="481" s="54" customFormat="1" ht="12.75" spans="1:12">
      <c r="A481" s="37"/>
      <c r="B481" s="37"/>
      <c r="C481" s="37"/>
      <c r="D481" s="37"/>
      <c r="E481" s="37"/>
      <c r="F481" s="37"/>
      <c r="G481" s="58"/>
      <c r="H481" s="59"/>
      <c r="I481" s="58"/>
      <c r="J481" s="69"/>
      <c r="K481" s="70"/>
      <c r="L481" s="69"/>
    </row>
    <row r="482" s="37" customFormat="1" ht="12.75" spans="1:12">
      <c r="A482" s="54"/>
      <c r="B482" s="54"/>
      <c r="C482" s="54"/>
      <c r="D482" s="54"/>
      <c r="E482" s="54"/>
      <c r="G482" s="58"/>
      <c r="H482" s="59"/>
      <c r="I482" s="58"/>
      <c r="J482" s="67"/>
      <c r="K482" s="68"/>
      <c r="L482" s="67"/>
    </row>
    <row r="483" s="37" customFormat="1" ht="12.75" spans="1:12">
      <c r="A483" s="54"/>
      <c r="B483" s="54"/>
      <c r="C483" s="54"/>
      <c r="D483" s="54"/>
      <c r="E483" s="54"/>
      <c r="G483" s="58"/>
      <c r="H483" s="59"/>
      <c r="I483" s="58"/>
      <c r="J483" s="67"/>
      <c r="K483" s="68"/>
      <c r="L483" s="67"/>
    </row>
    <row r="484" s="37" customFormat="1" ht="12.75" spans="1:12">
      <c r="G484" s="58"/>
      <c r="H484" s="59"/>
      <c r="I484" s="58"/>
      <c r="J484" s="67"/>
      <c r="K484" s="68"/>
      <c r="L484" s="67"/>
    </row>
    <row r="485" s="37" customFormat="1" ht="12.75" spans="1:12">
      <c r="G485" s="58"/>
      <c r="H485" s="59"/>
      <c r="I485" s="58"/>
      <c r="J485" s="67"/>
      <c r="K485" s="68"/>
      <c r="L485" s="67"/>
    </row>
    <row r="486" s="37" customFormat="1" ht="12.75" spans="1:12">
      <c r="G486" s="58"/>
      <c r="H486" s="59"/>
      <c r="I486" s="58"/>
      <c r="J486" s="67"/>
      <c r="K486" s="68"/>
      <c r="L486" s="67"/>
    </row>
    <row r="487" s="54" customFormat="1" ht="12.75" spans="1:12">
      <c r="A487" s="37"/>
      <c r="B487" s="37"/>
      <c r="C487" s="37"/>
      <c r="D487" s="37"/>
      <c r="E487" s="37"/>
      <c r="F487" s="37"/>
      <c r="G487" s="58"/>
      <c r="H487" s="59"/>
      <c r="I487" s="58"/>
      <c r="J487" s="69"/>
      <c r="K487" s="70"/>
      <c r="L487" s="69"/>
    </row>
    <row r="488" s="54" customFormat="1" ht="12.75" spans="1:12">
      <c r="A488" s="37"/>
      <c r="B488" s="37"/>
      <c r="C488" s="37"/>
      <c r="D488" s="37"/>
      <c r="E488" s="37"/>
      <c r="F488" s="37"/>
      <c r="G488" s="58"/>
      <c r="H488" s="59"/>
      <c r="I488" s="58"/>
      <c r="J488" s="69"/>
      <c r="K488" s="70"/>
      <c r="L488" s="69"/>
    </row>
    <row r="489" s="54" customFormat="1" ht="12.75" spans="1:12">
      <c r="F489" s="37"/>
      <c r="G489" s="58"/>
      <c r="H489" s="59"/>
      <c r="I489" s="58"/>
      <c r="J489" s="69"/>
      <c r="K489" s="70"/>
      <c r="L489" s="69"/>
    </row>
    <row r="490" s="37" customFormat="1" ht="12.75" spans="1:12">
      <c r="A490" s="54"/>
      <c r="B490" s="54"/>
      <c r="C490" s="54"/>
      <c r="D490" s="54"/>
      <c r="E490" s="54"/>
      <c r="G490" s="58"/>
      <c r="H490" s="59"/>
      <c r="I490" s="58"/>
      <c r="J490" s="67"/>
      <c r="K490" s="68"/>
      <c r="L490" s="67"/>
    </row>
    <row r="491" s="37" customFormat="1" ht="12.75" spans="1:12">
      <c r="A491" s="54"/>
      <c r="B491" s="54"/>
      <c r="C491" s="54"/>
      <c r="D491" s="54"/>
      <c r="E491" s="54"/>
      <c r="G491" s="58"/>
      <c r="H491" s="59"/>
      <c r="I491" s="58"/>
      <c r="J491" s="67"/>
      <c r="K491" s="68"/>
      <c r="L491" s="67"/>
    </row>
    <row r="492" s="37" customFormat="1" ht="12.75" spans="1:12">
      <c r="G492" s="58"/>
      <c r="H492" s="59"/>
      <c r="I492" s="58"/>
      <c r="J492" s="67"/>
      <c r="K492" s="68"/>
      <c r="L492" s="67"/>
    </row>
    <row r="493" s="37" customFormat="1" ht="12.75" spans="1:12">
      <c r="G493" s="58"/>
      <c r="H493" s="59"/>
      <c r="I493" s="58"/>
      <c r="J493" s="67"/>
      <c r="K493" s="68"/>
      <c r="L493" s="67"/>
    </row>
    <row r="494" s="37" customFormat="1" ht="12.75" spans="1:12">
      <c r="G494" s="58"/>
      <c r="H494" s="59"/>
      <c r="I494" s="58"/>
      <c r="J494" s="67"/>
      <c r="K494" s="68"/>
      <c r="L494" s="67"/>
    </row>
    <row r="495" s="54" customFormat="1" ht="12.75" spans="1:12">
      <c r="A495" s="37"/>
      <c r="B495" s="37"/>
      <c r="C495" s="37"/>
      <c r="D495" s="37"/>
      <c r="E495" s="37"/>
      <c r="F495" s="37"/>
      <c r="G495" s="58"/>
      <c r="H495" s="59"/>
      <c r="I495" s="58"/>
      <c r="J495" s="69"/>
      <c r="K495" s="70"/>
      <c r="L495" s="69"/>
    </row>
    <row r="496" s="54" customFormat="1" ht="12.75" spans="1:12">
      <c r="A496" s="37"/>
      <c r="B496" s="37"/>
      <c r="C496" s="37"/>
      <c r="D496" s="37"/>
      <c r="E496" s="37"/>
      <c r="F496" s="37"/>
      <c r="G496" s="58"/>
      <c r="H496" s="59"/>
      <c r="I496" s="58"/>
      <c r="J496" s="69"/>
      <c r="K496" s="70"/>
      <c r="L496" s="69"/>
    </row>
    <row r="497" s="54" customFormat="1" ht="12.75" spans="1:13">
      <c r="A497" s="37"/>
      <c r="B497" s="37"/>
      <c r="C497" s="37"/>
      <c r="D497" s="37"/>
      <c r="E497" s="37"/>
      <c r="F497" s="37"/>
      <c r="G497" s="58"/>
      <c r="H497" s="59"/>
      <c r="I497" s="58"/>
      <c r="J497" s="69"/>
      <c r="K497" s="70"/>
      <c r="L497" s="69"/>
    </row>
    <row r="498" s="37" customFormat="1" ht="12.75" spans="1:13">
      <c r="A498" s="54"/>
      <c r="B498" s="54"/>
      <c r="C498" s="54"/>
      <c r="D498" s="54"/>
      <c r="E498" s="54"/>
      <c r="G498" s="58"/>
      <c r="H498" s="59"/>
      <c r="I498" s="58"/>
      <c r="J498" s="67"/>
      <c r="K498" s="68"/>
      <c r="L498" s="67"/>
    </row>
    <row r="499" s="37" customFormat="1" ht="12.75" spans="1:13">
      <c r="A499" s="54"/>
      <c r="B499" s="54"/>
      <c r="C499" s="54"/>
      <c r="D499" s="54"/>
      <c r="E499" s="54"/>
      <c r="G499" s="58"/>
      <c r="H499" s="59"/>
      <c r="I499" s="58"/>
      <c r="J499" s="67"/>
      <c r="K499" s="68"/>
      <c r="L499" s="67"/>
    </row>
    <row r="500" s="37" customFormat="1" ht="12.75" spans="1:13">
      <c r="A500" s="54"/>
      <c r="B500" s="54"/>
      <c r="C500" s="54"/>
      <c r="D500" s="54"/>
      <c r="E500" s="54"/>
      <c r="G500" s="58"/>
      <c r="H500" s="59"/>
      <c r="I500" s="58"/>
      <c r="J500" s="67"/>
      <c r="K500" s="68"/>
      <c r="L500" s="67"/>
    </row>
    <row r="501" s="37" customFormat="1" ht="12.75" spans="1:13">
      <c r="G501" s="58"/>
      <c r="H501" s="59"/>
      <c r="I501" s="58"/>
      <c r="J501" s="67"/>
      <c r="K501" s="68"/>
      <c r="L501" s="67"/>
    </row>
    <row r="502" s="37" customFormat="1" ht="12.75" spans="1:13">
      <c r="G502" s="58"/>
      <c r="H502" s="59"/>
      <c r="I502" s="58"/>
      <c r="J502" s="67"/>
      <c r="K502" s="68"/>
      <c r="L502" s="67"/>
    </row>
    <row r="503" s="37" customFormat="1" ht="12.75" spans="1:13">
      <c r="G503" s="58"/>
      <c r="H503" s="59"/>
      <c r="I503" s="58"/>
      <c r="J503" s="67"/>
      <c r="K503" s="68"/>
      <c r="L503" s="67"/>
    </row>
    <row r="504" s="54" customFormat="1" ht="12.75" spans="1:13">
      <c r="A504" s="37"/>
      <c r="B504" s="37"/>
      <c r="C504" s="37"/>
      <c r="D504" s="37"/>
      <c r="E504" s="37"/>
      <c r="F504" s="37"/>
      <c r="G504" s="58"/>
      <c r="H504" s="59"/>
      <c r="I504" s="58"/>
      <c r="J504" s="69"/>
      <c r="K504" s="70"/>
      <c r="L504" s="69"/>
    </row>
    <row r="505" s="54" customFormat="1" ht="12.75" spans="1:13">
      <c r="A505" s="37"/>
      <c r="B505" s="37"/>
      <c r="C505" s="37"/>
      <c r="D505" s="37"/>
      <c r="E505" s="37"/>
      <c r="F505" s="37"/>
      <c r="G505" s="58"/>
      <c r="H505" s="59"/>
      <c r="I505" s="58"/>
      <c r="J505" s="69"/>
      <c r="K505" s="70"/>
      <c r="L505" s="69"/>
    </row>
    <row r="506" s="54" customFormat="1" ht="12.75" spans="1:13">
      <c r="F506" s="37"/>
      <c r="G506" s="58"/>
      <c r="H506" s="59"/>
      <c r="I506" s="58"/>
      <c r="J506" s="69"/>
      <c r="K506" s="70"/>
      <c r="L506" s="69"/>
      <c r="M506" s="71"/>
    </row>
    <row r="507" s="54" customFormat="1" ht="12.75" spans="1:13">
      <c r="F507" s="37"/>
      <c r="G507" s="58"/>
      <c r="H507" s="59"/>
      <c r="I507" s="58"/>
      <c r="J507" s="69"/>
      <c r="K507" s="70"/>
      <c r="L507" s="69"/>
    </row>
    <row r="508" s="54" customFormat="1" ht="12.75" spans="1:13">
      <c r="F508" s="37"/>
      <c r="G508" s="58"/>
      <c r="H508" s="59"/>
      <c r="I508" s="58"/>
      <c r="J508" s="69"/>
      <c r="K508" s="70"/>
      <c r="L508" s="69"/>
    </row>
    <row r="509" s="54" customFormat="1" ht="12.75" spans="1:13">
      <c r="F509" s="37"/>
      <c r="G509" s="58"/>
      <c r="H509" s="59"/>
      <c r="I509" s="58"/>
      <c r="J509" s="70"/>
      <c r="K509" s="70"/>
      <c r="L509" s="69"/>
    </row>
    <row r="510" s="54" customFormat="1" ht="12.75" spans="1:13">
      <c r="A510" s="37"/>
      <c r="B510" s="37"/>
      <c r="C510" s="37"/>
      <c r="D510" s="37"/>
      <c r="E510" s="37"/>
      <c r="F510" s="37"/>
      <c r="G510" s="58"/>
      <c r="H510" s="59"/>
      <c r="I510" s="58"/>
      <c r="J510" s="69"/>
      <c r="K510" s="70"/>
      <c r="L510" s="69"/>
    </row>
    <row r="511" s="54" customFormat="1" ht="12.75" spans="1:13">
      <c r="A511" s="37"/>
      <c r="B511" s="37"/>
      <c r="C511" s="37"/>
      <c r="D511" s="37"/>
      <c r="E511" s="37"/>
      <c r="F511" s="37"/>
      <c r="G511" s="58"/>
      <c r="H511" s="59"/>
      <c r="I511" s="58"/>
      <c r="J511" s="69"/>
      <c r="K511" s="70"/>
      <c r="L511" s="69"/>
    </row>
    <row r="512" s="54" customFormat="1" ht="12.75" spans="1:13">
      <c r="A512" s="37"/>
      <c r="B512" s="37"/>
      <c r="C512" s="37"/>
      <c r="D512" s="37"/>
      <c r="E512" s="37"/>
      <c r="F512" s="37"/>
      <c r="G512" s="58"/>
      <c r="H512" s="59"/>
      <c r="I512" s="58"/>
      <c r="J512" s="69"/>
      <c r="K512" s="70"/>
      <c r="L512" s="69"/>
    </row>
    <row r="513" s="37" customFormat="1" ht="12.75" spans="1:12">
      <c r="G513" s="58"/>
      <c r="H513" s="59"/>
      <c r="I513" s="58"/>
      <c r="J513" s="68"/>
      <c r="K513" s="68"/>
      <c r="L513" s="67"/>
    </row>
    <row r="514" s="37" customFormat="1" ht="12.75" spans="1:12">
      <c r="G514" s="58"/>
      <c r="H514" s="59"/>
      <c r="I514" s="58"/>
      <c r="J514" s="67"/>
      <c r="K514" s="68"/>
      <c r="L514" s="67"/>
    </row>
    <row r="515" s="37" customFormat="1" ht="12.75" spans="1:12">
      <c r="G515" s="58"/>
      <c r="H515" s="59"/>
      <c r="I515" s="58"/>
      <c r="J515" s="68"/>
      <c r="K515" s="68"/>
      <c r="L515" s="67"/>
    </row>
    <row r="516" s="37" customFormat="1" ht="12.75" spans="1:12">
      <c r="A516" s="54"/>
      <c r="B516" s="54"/>
      <c r="C516" s="54"/>
      <c r="D516" s="54"/>
      <c r="E516" s="54"/>
      <c r="G516" s="58"/>
      <c r="H516" s="59"/>
      <c r="I516" s="58"/>
      <c r="J516" s="68"/>
      <c r="K516" s="68"/>
      <c r="L516" s="67"/>
    </row>
    <row r="517" s="37" customFormat="1" ht="12.75" spans="1:12">
      <c r="A517" s="54"/>
      <c r="B517" s="54"/>
      <c r="C517" s="54"/>
      <c r="D517" s="54"/>
      <c r="E517" s="54"/>
      <c r="G517" s="58"/>
      <c r="H517" s="59"/>
      <c r="I517" s="58"/>
      <c r="J517" s="68"/>
      <c r="K517" s="68"/>
      <c r="L517" s="67"/>
    </row>
    <row r="518" s="54" customFormat="1" ht="12.75" spans="1:12">
      <c r="F518" s="37"/>
      <c r="G518" s="58"/>
      <c r="H518" s="59"/>
      <c r="I518" s="58"/>
      <c r="J518" s="70"/>
      <c r="K518" s="70"/>
      <c r="L518" s="69"/>
    </row>
    <row r="519" s="54" customFormat="1" ht="12.75" spans="1:12">
      <c r="F519" s="37"/>
      <c r="G519" s="58"/>
      <c r="H519" s="59"/>
      <c r="I519" s="58"/>
      <c r="J519" s="70"/>
      <c r="K519" s="70"/>
      <c r="L519" s="69"/>
    </row>
    <row r="520" s="37" customFormat="1" ht="12.75" spans="1:12">
      <c r="G520" s="58"/>
      <c r="H520" s="59"/>
      <c r="I520" s="58"/>
      <c r="J520" s="67"/>
      <c r="K520" s="68"/>
      <c r="L520" s="67"/>
    </row>
    <row r="521" s="37" customFormat="1" ht="12.75" spans="1:12">
      <c r="G521" s="58"/>
      <c r="H521" s="59"/>
      <c r="I521" s="58"/>
      <c r="J521" s="67"/>
      <c r="K521" s="68"/>
      <c r="L521" s="67"/>
    </row>
    <row r="522" s="37" customFormat="1" ht="12.75" spans="1:12">
      <c r="G522" s="58"/>
      <c r="H522" s="59"/>
      <c r="I522" s="58"/>
      <c r="J522" s="67"/>
      <c r="K522" s="68"/>
      <c r="L522" s="67"/>
    </row>
    <row r="523" s="37" customFormat="1" ht="12.75" spans="1:12">
      <c r="G523" s="58"/>
      <c r="H523" s="59"/>
      <c r="I523" s="58"/>
      <c r="J523" s="67"/>
      <c r="K523" s="68"/>
      <c r="L523" s="67"/>
    </row>
    <row r="524" s="37" customFormat="1" ht="12.75" spans="1:12">
      <c r="G524" s="58"/>
      <c r="H524" s="59"/>
      <c r="I524" s="58"/>
      <c r="J524" s="67"/>
      <c r="K524" s="68"/>
      <c r="L524" s="67"/>
    </row>
    <row r="525" s="54" customFormat="1" ht="12.75" spans="1:12">
      <c r="F525" s="37"/>
      <c r="G525" s="58"/>
      <c r="H525" s="59"/>
      <c r="I525" s="58"/>
      <c r="J525" s="69"/>
      <c r="K525" s="70"/>
      <c r="L525" s="69"/>
    </row>
    <row r="526" s="54" customFormat="1" ht="12.75" spans="1:12">
      <c r="F526" s="37"/>
      <c r="G526" s="58"/>
      <c r="H526" s="59"/>
      <c r="I526" s="58"/>
      <c r="J526" s="69"/>
      <c r="K526" s="70"/>
      <c r="L526" s="69"/>
    </row>
    <row r="527" s="37" customFormat="1" ht="12.75" spans="1:12">
      <c r="A527" s="54"/>
      <c r="B527" s="54"/>
      <c r="C527" s="54"/>
      <c r="D527" s="54"/>
      <c r="E527" s="54"/>
      <c r="G527" s="58"/>
      <c r="H527" s="59"/>
      <c r="I527" s="58"/>
      <c r="J527" s="67"/>
      <c r="K527" s="68"/>
      <c r="L527" s="67"/>
    </row>
    <row r="528" s="37" customFormat="1" ht="12.75" spans="1:12">
      <c r="G528" s="58"/>
      <c r="H528" s="59"/>
      <c r="I528" s="58"/>
      <c r="J528" s="67"/>
      <c r="K528" s="68"/>
      <c r="L528" s="67"/>
    </row>
    <row r="529" s="37" customFormat="1" ht="12.75" spans="1:12">
      <c r="G529" s="58"/>
      <c r="H529" s="59"/>
      <c r="I529" s="58"/>
      <c r="J529" s="67"/>
      <c r="K529" s="68"/>
      <c r="L529" s="67"/>
    </row>
    <row r="530" s="37" customFormat="1" ht="12.75" spans="1:12">
      <c r="G530" s="58"/>
      <c r="H530" s="59"/>
      <c r="I530" s="58"/>
      <c r="J530" s="67"/>
      <c r="K530" s="68"/>
      <c r="L530" s="67"/>
    </row>
    <row r="531" s="37" customFormat="1" ht="12.75" spans="1:12">
      <c r="G531" s="58"/>
      <c r="H531" s="59"/>
      <c r="I531" s="58"/>
      <c r="J531" s="67"/>
      <c r="K531" s="68"/>
      <c r="L531" s="67"/>
    </row>
    <row r="532" s="37" customFormat="1" ht="12.75" spans="1:12">
      <c r="G532" s="58"/>
      <c r="H532" s="59"/>
      <c r="I532" s="58"/>
      <c r="J532" s="67"/>
      <c r="K532" s="68"/>
      <c r="L532" s="67"/>
    </row>
    <row r="533" s="37" customFormat="1" ht="12.75" spans="1:12">
      <c r="G533" s="58"/>
      <c r="H533" s="59"/>
      <c r="I533" s="58"/>
      <c r="J533" s="67"/>
      <c r="K533" s="68"/>
      <c r="L533" s="67"/>
    </row>
    <row r="534" s="37" customFormat="1" ht="12.75" spans="1:12">
      <c r="A534" s="54"/>
      <c r="B534" s="54"/>
      <c r="C534" s="54"/>
      <c r="D534" s="54"/>
      <c r="E534" s="54"/>
      <c r="G534" s="58"/>
      <c r="H534" s="59"/>
      <c r="I534" s="58"/>
      <c r="J534" s="67"/>
      <c r="K534" s="68"/>
      <c r="L534" s="67"/>
    </row>
    <row r="535" s="37" customFormat="1" ht="12.75" spans="1:12">
      <c r="A535" s="54"/>
      <c r="B535" s="54"/>
      <c r="C535" s="54"/>
      <c r="D535" s="54"/>
      <c r="E535" s="54"/>
      <c r="G535" s="58"/>
      <c r="H535" s="59"/>
      <c r="I535" s="58"/>
      <c r="J535" s="67"/>
      <c r="K535" s="68"/>
      <c r="L535" s="67"/>
    </row>
    <row r="536" s="37" customFormat="1" ht="12.75" spans="1:12">
      <c r="A536" s="54"/>
      <c r="B536" s="54"/>
      <c r="C536" s="54"/>
      <c r="D536" s="54"/>
      <c r="E536" s="54"/>
      <c r="G536" s="58"/>
      <c r="H536" s="59"/>
      <c r="I536" s="58"/>
      <c r="J536" s="67"/>
      <c r="K536" s="68"/>
      <c r="L536" s="67"/>
    </row>
    <row r="537" s="37" customFormat="1" ht="12.75" spans="1:12">
      <c r="G537" s="58"/>
      <c r="H537" s="59"/>
      <c r="I537" s="58"/>
      <c r="J537" s="67"/>
      <c r="K537" s="68"/>
      <c r="L537" s="67"/>
    </row>
    <row r="538" s="37" customFormat="1" ht="12.75" spans="1:12">
      <c r="G538" s="58"/>
      <c r="H538" s="59"/>
      <c r="I538" s="58"/>
      <c r="J538" s="67"/>
      <c r="K538" s="68"/>
      <c r="L538" s="67"/>
    </row>
    <row r="539" s="37" customFormat="1" ht="12.75" spans="1:12">
      <c r="G539" s="58"/>
      <c r="H539" s="59"/>
      <c r="I539" s="58"/>
      <c r="J539" s="67"/>
      <c r="K539" s="68"/>
      <c r="L539" s="67"/>
    </row>
    <row r="540" s="37" customFormat="1" ht="12.75" spans="1:12">
      <c r="G540" s="58"/>
      <c r="H540" s="59"/>
      <c r="I540" s="58"/>
      <c r="J540" s="67"/>
      <c r="K540" s="68"/>
      <c r="L540" s="67"/>
    </row>
    <row r="541" s="37" customFormat="1" ht="12.75" spans="1:12">
      <c r="G541" s="58"/>
      <c r="H541" s="59"/>
      <c r="I541" s="58"/>
      <c r="J541" s="67"/>
      <c r="K541" s="68"/>
      <c r="L541" s="67"/>
    </row>
    <row r="542" s="37" customFormat="1" ht="12.75" spans="1:12">
      <c r="A542" s="54"/>
      <c r="B542" s="54"/>
      <c r="C542" s="54"/>
      <c r="D542" s="54"/>
      <c r="E542" s="54"/>
      <c r="G542" s="58"/>
      <c r="H542" s="59"/>
      <c r="I542" s="58"/>
      <c r="J542" s="67"/>
      <c r="K542" s="68"/>
      <c r="L542" s="67"/>
    </row>
    <row r="543" s="37" customFormat="1" ht="12.75" spans="1:12">
      <c r="A543" s="54"/>
      <c r="B543" s="54"/>
      <c r="C543" s="54"/>
      <c r="D543" s="54"/>
      <c r="E543" s="54"/>
      <c r="G543" s="58"/>
      <c r="H543" s="59"/>
      <c r="I543" s="58"/>
      <c r="J543" s="67"/>
      <c r="K543" s="68"/>
      <c r="L543" s="67"/>
    </row>
    <row r="544" s="37" customFormat="1" ht="12.75" spans="1:12">
      <c r="A544" s="54"/>
      <c r="B544" s="54"/>
      <c r="C544" s="54"/>
      <c r="D544" s="54"/>
      <c r="E544" s="54"/>
      <c r="G544" s="58"/>
      <c r="H544" s="59"/>
      <c r="I544" s="58"/>
      <c r="J544" s="67"/>
      <c r="K544" s="68"/>
      <c r="L544" s="67"/>
    </row>
    <row r="545" s="37" customFormat="1" ht="12.75" spans="1:12">
      <c r="G545" s="58"/>
      <c r="H545" s="59"/>
      <c r="I545" s="58"/>
      <c r="J545" s="67"/>
      <c r="K545" s="68"/>
      <c r="L545" s="67"/>
    </row>
    <row r="546" s="37" customFormat="1" ht="12.75" spans="1:12">
      <c r="G546" s="58"/>
      <c r="H546" s="59"/>
      <c r="I546" s="58"/>
      <c r="J546" s="67"/>
      <c r="K546" s="68"/>
      <c r="L546" s="67"/>
    </row>
    <row r="547" s="37" customFormat="1" ht="12.75" spans="1:12">
      <c r="G547" s="58"/>
      <c r="H547" s="59"/>
      <c r="I547" s="58"/>
      <c r="J547" s="67"/>
      <c r="K547" s="68"/>
      <c r="L547" s="67"/>
    </row>
    <row r="548" s="37" customFormat="1" ht="12.75" spans="1:12">
      <c r="G548" s="58"/>
      <c r="H548" s="59"/>
      <c r="I548" s="58"/>
      <c r="J548" s="67"/>
      <c r="K548" s="68"/>
      <c r="L548" s="67"/>
    </row>
    <row r="549" s="37" customFormat="1" ht="12.75" spans="1:12">
      <c r="G549" s="58"/>
      <c r="H549" s="59"/>
      <c r="I549" s="58"/>
      <c r="J549" s="67"/>
      <c r="K549" s="68"/>
      <c r="L549" s="67"/>
    </row>
    <row r="550" s="37" customFormat="1" ht="12.75" spans="1:12">
      <c r="G550" s="58"/>
      <c r="H550" s="59"/>
      <c r="I550" s="58"/>
      <c r="J550" s="67"/>
      <c r="K550" s="68"/>
      <c r="L550" s="67"/>
    </row>
    <row r="551" s="37" customFormat="1" ht="12.75" spans="1:12">
      <c r="A551" s="54"/>
      <c r="B551" s="54"/>
      <c r="C551" s="54"/>
      <c r="D551" s="54"/>
      <c r="E551" s="54"/>
      <c r="G551" s="58"/>
      <c r="H551" s="59"/>
      <c r="I551" s="58"/>
      <c r="J551" s="67"/>
      <c r="K551" s="68"/>
      <c r="L551" s="67"/>
    </row>
    <row r="552" s="37" customFormat="1" ht="12.75" spans="1:12">
      <c r="A552" s="54"/>
      <c r="B552" s="54"/>
      <c r="C552" s="54"/>
      <c r="D552" s="54"/>
      <c r="E552" s="54"/>
      <c r="G552" s="58"/>
      <c r="H552" s="59"/>
      <c r="I552" s="58"/>
      <c r="J552" s="67"/>
      <c r="K552" s="68"/>
      <c r="L552" s="67"/>
    </row>
    <row r="553" s="37" customFormat="1" ht="12.75" spans="1:12">
      <c r="G553" s="58"/>
      <c r="H553" s="59"/>
      <c r="I553" s="58"/>
      <c r="J553" s="67"/>
      <c r="K553" s="68"/>
      <c r="L553" s="67"/>
    </row>
    <row r="554" s="37" customFormat="1" ht="12.75" spans="1:12">
      <c r="G554" s="58"/>
      <c r="H554" s="59"/>
      <c r="I554" s="58"/>
      <c r="J554" s="67"/>
      <c r="K554" s="68"/>
      <c r="L554" s="67"/>
    </row>
    <row r="555" s="37" customFormat="1" ht="12.75" spans="1:12">
      <c r="G555" s="58"/>
      <c r="H555" s="59"/>
      <c r="I555" s="58"/>
      <c r="J555" s="67"/>
      <c r="K555" s="68"/>
      <c r="L555" s="67"/>
    </row>
    <row r="556" s="37" customFormat="1" ht="12.75" spans="1:12">
      <c r="G556" s="58"/>
      <c r="H556" s="59"/>
      <c r="I556" s="58"/>
      <c r="J556" s="67"/>
      <c r="K556" s="68"/>
      <c r="L556" s="67"/>
    </row>
    <row r="557" s="37" customFormat="1" ht="12.75" spans="1:12">
      <c r="G557" s="58"/>
      <c r="H557" s="59"/>
      <c r="I557" s="58"/>
      <c r="J557" s="67"/>
      <c r="K557" s="68"/>
      <c r="L557" s="67"/>
    </row>
    <row r="558" s="37" customFormat="1" ht="12.75" spans="1:12">
      <c r="A558" s="54"/>
      <c r="B558" s="54"/>
      <c r="C558" s="54"/>
      <c r="D558" s="54"/>
      <c r="E558" s="54"/>
      <c r="G558" s="58"/>
      <c r="H558" s="59"/>
      <c r="I558" s="58"/>
      <c r="J558" s="67"/>
      <c r="K558" s="68"/>
      <c r="L558" s="67"/>
    </row>
    <row r="559" s="37" customFormat="1" ht="12.75" spans="1:12">
      <c r="A559" s="54"/>
      <c r="B559" s="54"/>
      <c r="C559" s="54"/>
      <c r="D559" s="54"/>
      <c r="E559" s="54"/>
      <c r="G559" s="58"/>
      <c r="H559" s="59"/>
      <c r="I559" s="58"/>
      <c r="J559" s="67"/>
      <c r="K559" s="68"/>
      <c r="L559" s="67"/>
    </row>
    <row r="560" s="37" customFormat="1" ht="12.75" spans="1:12">
      <c r="A560" s="54"/>
      <c r="B560" s="54"/>
      <c r="C560" s="54"/>
      <c r="D560" s="54"/>
      <c r="E560" s="54"/>
      <c r="G560" s="58"/>
      <c r="H560" s="59"/>
      <c r="I560" s="58"/>
      <c r="J560" s="67"/>
      <c r="K560" s="68"/>
      <c r="L560" s="67"/>
    </row>
    <row r="561" s="37" customFormat="1" ht="12.75" spans="1:12">
      <c r="G561" s="58"/>
      <c r="H561" s="59"/>
      <c r="I561" s="58"/>
      <c r="J561" s="67"/>
      <c r="K561" s="68"/>
      <c r="L561" s="67"/>
    </row>
    <row r="562" s="37" customFormat="1" ht="12.75" spans="1:12">
      <c r="G562" s="58"/>
      <c r="H562" s="59"/>
      <c r="I562" s="58"/>
      <c r="J562" s="67"/>
      <c r="K562" s="68"/>
      <c r="L562" s="67"/>
    </row>
    <row r="563" s="37" customFormat="1" ht="12.75" spans="1:12">
      <c r="G563" s="58"/>
      <c r="H563" s="59"/>
      <c r="I563" s="58"/>
      <c r="J563" s="67"/>
      <c r="K563" s="68"/>
      <c r="L563" s="67"/>
    </row>
    <row r="564" s="37" customFormat="1" ht="12.75" spans="1:12">
      <c r="G564" s="58"/>
      <c r="H564" s="59"/>
      <c r="I564" s="58"/>
      <c r="J564" s="67"/>
      <c r="K564" s="68"/>
      <c r="L564" s="67"/>
    </row>
    <row r="565" s="37" customFormat="1" ht="12.75" spans="1:12">
      <c r="G565" s="58"/>
      <c r="H565" s="59"/>
      <c r="I565" s="58"/>
      <c r="J565" s="67"/>
      <c r="K565" s="68"/>
      <c r="L565" s="67"/>
    </row>
    <row r="566" s="37" customFormat="1" ht="12.75" spans="1:12">
      <c r="G566" s="58"/>
      <c r="H566" s="59"/>
      <c r="I566" s="58"/>
      <c r="J566" s="67"/>
      <c r="K566" s="68"/>
      <c r="L566" s="67"/>
    </row>
    <row r="567" s="37" customFormat="1" ht="12.75" spans="1:12">
      <c r="A567" s="54"/>
      <c r="B567" s="54"/>
      <c r="C567" s="54"/>
      <c r="D567" s="54"/>
      <c r="E567" s="54"/>
      <c r="G567" s="58"/>
      <c r="H567" s="59"/>
      <c r="I567" s="58"/>
      <c r="J567" s="67"/>
      <c r="K567" s="68"/>
      <c r="L567" s="67"/>
    </row>
    <row r="568" s="37" customFormat="1" ht="12.75" spans="1:12">
      <c r="A568" s="54"/>
      <c r="B568" s="54"/>
      <c r="C568" s="54"/>
      <c r="D568" s="54"/>
      <c r="E568" s="54"/>
      <c r="G568" s="58"/>
      <c r="H568" s="59"/>
      <c r="I568" s="58"/>
      <c r="J568" s="67"/>
      <c r="K568" s="68"/>
      <c r="L568" s="67"/>
    </row>
    <row r="569" s="37" customFormat="1" ht="12.75" spans="1:12">
      <c r="A569" s="54"/>
      <c r="B569" s="54"/>
      <c r="C569" s="54"/>
      <c r="D569" s="54"/>
      <c r="E569" s="54"/>
      <c r="G569" s="58"/>
      <c r="H569" s="59"/>
      <c r="I569" s="58"/>
      <c r="J569" s="67"/>
      <c r="K569" s="68"/>
      <c r="L569" s="67"/>
    </row>
    <row r="570" s="37" customFormat="1" ht="12.75" spans="1:12">
      <c r="G570" s="58"/>
      <c r="H570" s="59"/>
      <c r="I570" s="58"/>
      <c r="J570" s="67"/>
      <c r="K570" s="68"/>
      <c r="L570" s="67"/>
    </row>
    <row r="571" s="37" customFormat="1" ht="12.75" spans="1:12">
      <c r="G571" s="58"/>
      <c r="H571" s="59"/>
      <c r="I571" s="58"/>
      <c r="J571" s="67"/>
      <c r="K571" s="68"/>
      <c r="L571" s="67"/>
    </row>
    <row r="572" s="37" customFormat="1" ht="12.75" spans="1:12">
      <c r="G572" s="58"/>
      <c r="H572" s="59"/>
      <c r="I572" s="58"/>
      <c r="J572" s="67"/>
      <c r="K572" s="68"/>
      <c r="L572" s="67"/>
    </row>
    <row r="573" s="37" customFormat="1" ht="12.75" spans="1:12">
      <c r="G573" s="58"/>
      <c r="H573" s="59"/>
      <c r="I573" s="58"/>
      <c r="J573" s="67"/>
      <c r="K573" s="68"/>
      <c r="L573" s="67"/>
    </row>
    <row r="574" s="37" customFormat="1" ht="12.75" spans="1:12">
      <c r="G574" s="58"/>
      <c r="H574" s="59"/>
      <c r="I574" s="58"/>
      <c r="J574" s="67"/>
      <c r="K574" s="68"/>
      <c r="L574" s="67"/>
    </row>
    <row r="575" s="37" customFormat="1" ht="12.75" spans="1:12">
      <c r="A575" s="54"/>
      <c r="B575" s="54"/>
      <c r="C575" s="54"/>
      <c r="D575" s="54"/>
      <c r="E575" s="54"/>
      <c r="G575" s="58"/>
      <c r="H575" s="59"/>
      <c r="I575" s="58"/>
      <c r="J575" s="67"/>
      <c r="K575" s="68"/>
      <c r="L575" s="67"/>
    </row>
    <row r="576" s="37" customFormat="1" ht="12.75" spans="1:12">
      <c r="A576" s="54"/>
      <c r="B576" s="54"/>
      <c r="C576" s="54"/>
      <c r="D576" s="54"/>
      <c r="E576" s="54"/>
      <c r="G576" s="58"/>
      <c r="H576" s="59"/>
      <c r="I576" s="58"/>
      <c r="J576" s="67"/>
      <c r="K576" s="68"/>
      <c r="L576" s="67"/>
    </row>
    <row r="577" s="37" customFormat="1" ht="12.75" spans="1:12">
      <c r="A577" s="54"/>
      <c r="B577" s="54"/>
      <c r="C577" s="54"/>
      <c r="D577" s="54"/>
      <c r="E577" s="54"/>
      <c r="G577" s="58"/>
      <c r="H577" s="59"/>
      <c r="I577" s="58"/>
      <c r="J577" s="67"/>
      <c r="K577" s="68"/>
      <c r="L577" s="67"/>
    </row>
    <row r="578" s="37" customFormat="1" ht="12.75" spans="1:12">
      <c r="A578" s="54"/>
      <c r="B578" s="54"/>
      <c r="C578" s="54"/>
      <c r="D578" s="54"/>
      <c r="E578" s="54"/>
      <c r="G578" s="58"/>
      <c r="H578" s="59"/>
      <c r="I578" s="58"/>
      <c r="J578" s="67"/>
      <c r="K578" s="68"/>
      <c r="L578" s="67"/>
    </row>
    <row r="579" s="37" customFormat="1" ht="12.75" spans="1:12">
      <c r="A579" s="54"/>
      <c r="B579" s="54"/>
      <c r="C579" s="54"/>
      <c r="D579" s="54"/>
      <c r="E579" s="54"/>
      <c r="G579" s="58"/>
      <c r="H579" s="59"/>
      <c r="I579" s="58"/>
      <c r="J579" s="67"/>
      <c r="K579" s="68"/>
      <c r="L579" s="67"/>
    </row>
    <row r="580" s="37" customFormat="1" ht="12.75" spans="1:12">
      <c r="G580" s="58"/>
      <c r="H580" s="59"/>
      <c r="I580" s="58"/>
      <c r="J580" s="67"/>
      <c r="K580" s="68"/>
      <c r="L580" s="67"/>
    </row>
    <row r="581" s="37" customFormat="1" ht="12.75" spans="1:12">
      <c r="G581" s="58"/>
      <c r="H581" s="59"/>
      <c r="I581" s="58"/>
      <c r="J581" s="67"/>
      <c r="K581" s="68"/>
      <c r="L581" s="67"/>
    </row>
    <row r="582" s="37" customFormat="1" ht="12.75" spans="1:12">
      <c r="G582" s="58"/>
      <c r="H582" s="59"/>
      <c r="I582" s="58"/>
      <c r="J582" s="67"/>
      <c r="K582" s="68"/>
      <c r="L582" s="67"/>
    </row>
    <row r="583" s="37" customFormat="1" ht="12.75" spans="1:12">
      <c r="G583" s="58"/>
      <c r="H583" s="59"/>
      <c r="I583" s="58"/>
      <c r="J583" s="67"/>
      <c r="K583" s="68"/>
      <c r="L583" s="67"/>
    </row>
    <row r="584" s="37" customFormat="1" ht="12.75" spans="1:12">
      <c r="G584" s="58"/>
      <c r="H584" s="59"/>
      <c r="I584" s="58"/>
      <c r="J584" s="67"/>
      <c r="K584" s="68"/>
      <c r="L584" s="67"/>
    </row>
    <row r="585" s="37" customFormat="1" ht="12.75" spans="1:12">
      <c r="G585" s="58"/>
      <c r="H585" s="59"/>
      <c r="I585" s="58"/>
      <c r="J585" s="67"/>
      <c r="K585" s="68"/>
      <c r="L585" s="67"/>
    </row>
    <row r="586" s="37" customFormat="1" ht="12.75" spans="1:12">
      <c r="A586" s="54"/>
      <c r="B586" s="54"/>
      <c r="C586" s="54"/>
      <c r="D586" s="54"/>
      <c r="E586" s="54"/>
      <c r="G586" s="58"/>
      <c r="H586" s="59"/>
      <c r="I586" s="58"/>
      <c r="J586" s="67"/>
      <c r="K586" s="68"/>
      <c r="L586" s="67"/>
    </row>
    <row r="587" s="37" customFormat="1" ht="12.75" spans="1:12">
      <c r="A587" s="54"/>
      <c r="B587" s="54"/>
      <c r="C587" s="54"/>
      <c r="D587" s="54"/>
      <c r="E587" s="54"/>
      <c r="G587" s="58"/>
      <c r="H587" s="59"/>
      <c r="I587" s="58"/>
      <c r="J587" s="67"/>
      <c r="K587" s="68"/>
      <c r="L587" s="67"/>
    </row>
    <row r="588" s="37" customFormat="1" ht="12.75" spans="1:12">
      <c r="A588" s="54"/>
      <c r="B588" s="54"/>
      <c r="C588" s="54"/>
      <c r="D588" s="54"/>
      <c r="E588" s="54"/>
      <c r="G588" s="58"/>
      <c r="H588" s="59"/>
      <c r="I588" s="58" t="e">
        <f>ROUNDDOWN(G588/H588,0)</f>
        <v>#DIV/0!</v>
      </c>
      <c r="J588" s="67"/>
      <c r="K588" s="68"/>
      <c r="L588" s="67"/>
    </row>
    <row r="589" s="37" customFormat="1" ht="12.75" spans="1:12">
      <c r="A589" s="54"/>
      <c r="B589" s="54"/>
      <c r="C589" s="54"/>
      <c r="D589" s="54"/>
      <c r="E589" s="54"/>
      <c r="G589" s="58"/>
      <c r="H589" s="59"/>
      <c r="I589" s="58"/>
      <c r="J589" s="67"/>
      <c r="K589" s="68"/>
      <c r="L589" s="67"/>
    </row>
    <row r="590" s="37" customFormat="1" ht="12.75" spans="1:12">
      <c r="G590" s="58"/>
      <c r="H590" s="59"/>
      <c r="I590" s="58"/>
      <c r="J590" s="67"/>
      <c r="K590" s="68"/>
      <c r="L590" s="67"/>
    </row>
    <row r="591" s="37" customFormat="1" ht="12.75" spans="1:12">
      <c r="G591" s="58"/>
      <c r="H591" s="59"/>
      <c r="I591" s="58"/>
      <c r="J591" s="67"/>
      <c r="K591" s="68"/>
      <c r="L591" s="67"/>
    </row>
    <row r="592" s="37" customFormat="1" ht="12.75" spans="1:12">
      <c r="G592" s="58"/>
      <c r="H592" s="59"/>
      <c r="I592" s="58"/>
      <c r="J592" s="67"/>
      <c r="K592" s="68"/>
      <c r="L592" s="67"/>
    </row>
    <row r="593" s="37" customFormat="1" ht="12.75" spans="1:12">
      <c r="G593" s="58"/>
      <c r="H593" s="59"/>
      <c r="I593" s="58"/>
      <c r="J593" s="67"/>
      <c r="K593" s="68"/>
      <c r="L593" s="67"/>
    </row>
    <row r="594" s="37" customFormat="1" ht="12.75" spans="1:12">
      <c r="G594" s="58"/>
      <c r="H594" s="59"/>
      <c r="I594" s="58"/>
      <c r="J594" s="67"/>
      <c r="K594" s="68"/>
      <c r="L594" s="67"/>
    </row>
    <row r="595" s="37" customFormat="1" ht="12.75" spans="1:12">
      <c r="A595" s="54"/>
      <c r="B595" s="54"/>
      <c r="C595" s="54"/>
      <c r="D595" s="54"/>
      <c r="E595" s="54"/>
      <c r="G595" s="58"/>
      <c r="H595" s="59"/>
      <c r="I595" s="58"/>
      <c r="J595" s="67"/>
      <c r="K595" s="68"/>
      <c r="L595" s="67"/>
    </row>
    <row r="596" s="37" customFormat="1" ht="12.75" spans="1:12">
      <c r="A596" s="54"/>
      <c r="B596" s="54"/>
      <c r="C596" s="54"/>
      <c r="D596" s="54"/>
      <c r="E596" s="54"/>
      <c r="G596" s="58"/>
      <c r="H596" s="59"/>
      <c r="I596" s="58"/>
      <c r="J596" s="67"/>
      <c r="K596" s="68"/>
      <c r="L596" s="67"/>
    </row>
    <row r="597" s="37" customFormat="1" ht="12.75" spans="1:12">
      <c r="A597" s="54"/>
      <c r="B597" s="54"/>
      <c r="C597" s="54"/>
      <c r="D597" s="54"/>
      <c r="E597" s="54"/>
      <c r="G597" s="58"/>
      <c r="H597" s="59"/>
      <c r="I597" s="58"/>
      <c r="J597" s="67"/>
      <c r="K597" s="68"/>
      <c r="L597" s="67"/>
    </row>
    <row r="598" s="37" customFormat="1" ht="12.75" spans="1:12">
      <c r="A598" s="54"/>
      <c r="B598" s="54"/>
      <c r="C598" s="54"/>
      <c r="D598" s="54"/>
      <c r="E598" s="54"/>
      <c r="G598" s="58"/>
      <c r="H598" s="59"/>
      <c r="I598" s="58"/>
      <c r="J598" s="67"/>
      <c r="K598" s="68"/>
      <c r="L598" s="67"/>
    </row>
    <row r="599" s="37" customFormat="1" ht="12.75" spans="1:12">
      <c r="A599" s="54"/>
      <c r="B599" s="54"/>
      <c r="C599" s="54"/>
      <c r="D599" s="54"/>
      <c r="E599" s="54"/>
      <c r="G599" s="58"/>
      <c r="H599" s="59"/>
      <c r="I599" s="58"/>
      <c r="J599" s="67"/>
      <c r="K599" s="68"/>
      <c r="L599" s="67"/>
    </row>
    <row r="600" s="37" customFormat="1" ht="12.75" spans="1:12">
      <c r="G600" s="58"/>
      <c r="H600" s="59"/>
      <c r="I600" s="58" t="e">
        <f>ROUNDDOWN(G600/H600,0)</f>
        <v>#DIV/0!</v>
      </c>
      <c r="J600" s="67"/>
      <c r="K600" s="68"/>
      <c r="L600" s="67"/>
    </row>
    <row r="601" s="37" customFormat="1" ht="12.75" spans="1:12">
      <c r="G601" s="58"/>
      <c r="H601" s="59"/>
      <c r="I601" s="58"/>
      <c r="J601" s="67"/>
      <c r="K601" s="68"/>
      <c r="L601" s="67"/>
    </row>
    <row r="602" s="37" customFormat="1" ht="12.75" spans="1:12">
      <c r="G602" s="58"/>
      <c r="H602" s="59"/>
      <c r="I602" s="58"/>
      <c r="J602" s="67"/>
      <c r="K602" s="68"/>
      <c r="L602" s="67"/>
    </row>
    <row r="603" s="37" customFormat="1" ht="12.75" spans="1:12">
      <c r="G603" s="58"/>
      <c r="H603" s="59"/>
      <c r="I603" s="58"/>
      <c r="J603" s="67"/>
      <c r="K603" s="68"/>
      <c r="L603" s="67"/>
    </row>
    <row r="604" s="37" customFormat="1" ht="12.75" spans="1:12">
      <c r="G604" s="58"/>
      <c r="H604" s="59"/>
      <c r="I604" s="58"/>
      <c r="J604" s="67"/>
      <c r="K604" s="68"/>
      <c r="L604" s="67"/>
    </row>
    <row r="605" s="37" customFormat="1" ht="12.75" spans="1:12">
      <c r="G605" s="58"/>
      <c r="H605" s="59"/>
      <c r="I605" s="58"/>
      <c r="J605" s="67"/>
      <c r="K605" s="68"/>
      <c r="L605" s="67"/>
    </row>
    <row r="606" s="37" customFormat="1" ht="12.75" spans="1:12">
      <c r="A606" s="54"/>
      <c r="B606" s="54"/>
      <c r="C606" s="54"/>
      <c r="D606" s="54"/>
      <c r="E606" s="54"/>
      <c r="G606" s="58"/>
      <c r="H606" s="59"/>
      <c r="I606" s="58"/>
      <c r="J606" s="67"/>
      <c r="K606" s="68"/>
      <c r="L606" s="67"/>
    </row>
    <row r="607" s="37" customFormat="1" ht="12.75" spans="1:12">
      <c r="A607" s="54"/>
      <c r="B607" s="54"/>
      <c r="C607" s="54"/>
      <c r="D607" s="54"/>
      <c r="E607" s="54"/>
      <c r="G607" s="58"/>
      <c r="H607" s="59"/>
      <c r="I607" s="58"/>
      <c r="J607" s="67"/>
      <c r="K607" s="68"/>
      <c r="L607" s="67"/>
    </row>
    <row r="608" s="37" customFormat="1" ht="12.75" spans="1:12">
      <c r="A608" s="54"/>
      <c r="B608" s="54"/>
      <c r="C608" s="54"/>
      <c r="D608" s="54"/>
      <c r="E608" s="54"/>
      <c r="G608" s="58"/>
      <c r="H608" s="59"/>
      <c r="I608" s="58"/>
      <c r="J608" s="67"/>
      <c r="K608" s="68"/>
      <c r="L608" s="67"/>
    </row>
    <row r="609" s="37" customFormat="1" ht="12.75" spans="1:12">
      <c r="A609" s="54"/>
      <c r="B609" s="54"/>
      <c r="C609" s="54"/>
      <c r="D609" s="54"/>
      <c r="E609" s="54"/>
      <c r="G609" s="58"/>
      <c r="H609" s="59"/>
      <c r="I609" s="58"/>
      <c r="J609" s="67"/>
      <c r="K609" s="68"/>
      <c r="L609" s="67"/>
    </row>
    <row r="610" s="37" customFormat="1" ht="12.75" spans="1:12">
      <c r="A610" s="54"/>
      <c r="B610" s="54"/>
      <c r="C610" s="54"/>
      <c r="D610" s="54"/>
      <c r="E610" s="54"/>
      <c r="G610" s="58"/>
      <c r="H610" s="59"/>
      <c r="I610" s="58"/>
      <c r="J610" s="67"/>
      <c r="K610" s="68"/>
      <c r="L610" s="67"/>
    </row>
    <row r="611" s="37" customFormat="1" ht="12.75" spans="1:12">
      <c r="G611" s="58"/>
      <c r="H611" s="59"/>
      <c r="I611" s="58" t="e">
        <f>ROUNDDOWN(G611/H611,0)</f>
        <v>#DIV/0!</v>
      </c>
      <c r="J611" s="67"/>
      <c r="K611" s="68"/>
      <c r="L611" s="67"/>
    </row>
    <row r="612" s="37" customFormat="1" ht="12.75" spans="1:12">
      <c r="G612" s="58"/>
      <c r="H612" s="59"/>
      <c r="I612" s="58" t="e">
        <f>ROUNDDOWN(G612/H612,0)</f>
        <v>#DIV/0!</v>
      </c>
      <c r="J612" s="67"/>
      <c r="K612" s="68"/>
      <c r="L612" s="67"/>
    </row>
    <row r="613" s="37" customFormat="1" ht="12.75" spans="1:12">
      <c r="G613" s="58"/>
      <c r="H613" s="59"/>
      <c r="I613" s="58"/>
      <c r="J613" s="67"/>
      <c r="K613" s="68"/>
      <c r="L613" s="67"/>
    </row>
    <row r="614" s="37" customFormat="1" ht="12.75" spans="1:12">
      <c r="G614" s="58"/>
      <c r="H614" s="59"/>
      <c r="I614" s="58"/>
      <c r="J614" s="67"/>
      <c r="K614" s="68"/>
      <c r="L614" s="67"/>
    </row>
    <row r="615" s="37" customFormat="1" ht="12.75" spans="1:12">
      <c r="G615" s="58"/>
      <c r="H615" s="59"/>
      <c r="I615" s="58"/>
      <c r="J615" s="67"/>
      <c r="K615" s="68"/>
      <c r="L615" s="67"/>
    </row>
    <row r="616" s="37" customFormat="1" ht="12.75" spans="1:12">
      <c r="A616" s="54"/>
      <c r="B616" s="54"/>
      <c r="C616" s="54"/>
      <c r="D616" s="54"/>
      <c r="E616" s="54"/>
      <c r="G616" s="58"/>
      <c r="H616" s="59"/>
      <c r="I616" s="58"/>
      <c r="J616" s="67"/>
      <c r="K616" s="68"/>
      <c r="L616" s="67"/>
    </row>
    <row r="617" s="37" customFormat="1" ht="12.75" spans="1:12">
      <c r="A617" s="54"/>
      <c r="B617" s="54"/>
      <c r="C617" s="54"/>
      <c r="D617" s="54"/>
      <c r="E617" s="54"/>
      <c r="G617" s="58"/>
      <c r="H617" s="59"/>
      <c r="I617" s="58"/>
      <c r="J617" s="67"/>
      <c r="K617" s="68"/>
      <c r="L617" s="67"/>
    </row>
    <row r="618" s="37" customFormat="1" ht="12.75" spans="1:12">
      <c r="A618" s="54"/>
      <c r="B618" s="54"/>
      <c r="C618" s="54"/>
      <c r="D618" s="54"/>
      <c r="E618" s="54"/>
      <c r="G618" s="58"/>
      <c r="H618" s="59"/>
      <c r="I618" s="58"/>
      <c r="J618" s="67"/>
      <c r="K618" s="68"/>
      <c r="L618" s="67"/>
    </row>
    <row r="619" s="37" customFormat="1" ht="12.75" spans="1:12">
      <c r="A619" s="54"/>
      <c r="B619" s="54"/>
      <c r="C619" s="54"/>
      <c r="D619" s="54"/>
      <c r="E619" s="54"/>
      <c r="G619" s="58"/>
      <c r="H619" s="59"/>
      <c r="I619" s="58"/>
      <c r="J619" s="67"/>
      <c r="K619" s="68"/>
      <c r="L619" s="67"/>
    </row>
    <row r="620" s="37" customFormat="1" ht="12.75" spans="1:12">
      <c r="G620" s="58"/>
      <c r="H620" s="59"/>
      <c r="I620" s="58"/>
      <c r="J620" s="67"/>
      <c r="K620" s="68"/>
      <c r="L620" s="67"/>
    </row>
    <row r="621" s="37" customFormat="1" ht="12.75" spans="1:12">
      <c r="G621" s="58"/>
      <c r="H621" s="59"/>
      <c r="I621" s="58"/>
      <c r="J621" s="67"/>
      <c r="K621" s="68"/>
      <c r="L621" s="67"/>
    </row>
    <row r="622" s="37" customFormat="1" ht="12.75" spans="1:12">
      <c r="G622" s="58"/>
      <c r="H622" s="59"/>
      <c r="I622" s="58"/>
      <c r="J622" s="67"/>
      <c r="K622" s="68"/>
      <c r="L622" s="67"/>
    </row>
    <row r="623" s="37" customFormat="1" ht="12.75" spans="1:12">
      <c r="G623" s="58"/>
      <c r="H623" s="59"/>
      <c r="I623" s="58"/>
      <c r="J623" s="67"/>
      <c r="K623" s="68"/>
      <c r="L623" s="67"/>
    </row>
    <row r="624" s="37" customFormat="1" ht="12.75" spans="1:12">
      <c r="G624" s="58"/>
      <c r="H624" s="59"/>
      <c r="I624" s="58"/>
      <c r="J624" s="67"/>
      <c r="K624" s="68"/>
      <c r="L624" s="67"/>
    </row>
    <row r="625" s="37" customFormat="1" ht="12.75" spans="1:12">
      <c r="G625" s="58"/>
      <c r="H625" s="59"/>
      <c r="I625" s="58"/>
      <c r="J625" s="67"/>
      <c r="K625" s="68"/>
      <c r="L625" s="67"/>
    </row>
    <row r="626" s="37" customFormat="1" ht="12.75" spans="1:12">
      <c r="A626" s="54"/>
      <c r="B626" s="54"/>
      <c r="C626" s="54"/>
      <c r="D626" s="54"/>
      <c r="E626" s="54"/>
      <c r="G626" s="58"/>
      <c r="H626" s="59"/>
      <c r="I626" s="58"/>
      <c r="J626" s="67"/>
      <c r="K626" s="68"/>
      <c r="L626" s="67"/>
    </row>
    <row r="627" s="37" customFormat="1" ht="12.75" spans="1:12">
      <c r="A627" s="54"/>
      <c r="B627" s="54"/>
      <c r="C627" s="54"/>
      <c r="D627" s="54"/>
      <c r="E627" s="54"/>
      <c r="G627" s="58"/>
      <c r="H627" s="59"/>
      <c r="I627" s="58"/>
      <c r="J627" s="67"/>
      <c r="K627" s="68"/>
      <c r="L627" s="67"/>
    </row>
    <row r="628" s="37" customFormat="1" ht="12.75" spans="1:12">
      <c r="A628" s="54"/>
      <c r="B628" s="54"/>
      <c r="C628" s="54"/>
      <c r="D628" s="54"/>
      <c r="E628" s="54"/>
      <c r="G628" s="58"/>
      <c r="H628" s="59"/>
      <c r="I628" s="58"/>
      <c r="J628" s="67"/>
      <c r="K628" s="68"/>
      <c r="L628" s="67"/>
    </row>
    <row r="629" s="37" customFormat="1" ht="12.75" spans="1:12">
      <c r="G629" s="58"/>
      <c r="H629" s="59"/>
      <c r="I629" s="58"/>
      <c r="J629" s="67"/>
      <c r="K629" s="68"/>
      <c r="L629" s="67"/>
    </row>
    <row r="630" s="37" customFormat="1" ht="12.75" spans="1:12">
      <c r="G630" s="58"/>
      <c r="H630" s="59"/>
      <c r="I630" s="58"/>
      <c r="J630" s="67"/>
      <c r="K630" s="68"/>
      <c r="L630" s="67"/>
    </row>
    <row r="631" s="37" customFormat="1" ht="12.75" spans="1:12">
      <c r="G631" s="58"/>
      <c r="H631" s="59"/>
      <c r="I631" s="58"/>
      <c r="J631" s="67"/>
      <c r="K631" s="68"/>
      <c r="L631" s="67"/>
    </row>
    <row r="632" s="37" customFormat="1" ht="12.75" spans="1:12">
      <c r="G632" s="58"/>
      <c r="H632" s="59"/>
      <c r="I632" s="58"/>
      <c r="J632" s="67"/>
      <c r="K632" s="68"/>
      <c r="L632" s="67"/>
    </row>
    <row r="633" s="37" customFormat="1" ht="12.75" spans="1:12">
      <c r="G633" s="58"/>
      <c r="H633" s="59"/>
      <c r="I633" s="58"/>
      <c r="J633" s="67"/>
      <c r="K633" s="68"/>
      <c r="L633" s="67"/>
    </row>
    <row r="634" s="37" customFormat="1" ht="12.75" spans="1:12">
      <c r="A634" s="54"/>
      <c r="B634" s="54"/>
      <c r="C634" s="54"/>
      <c r="D634" s="54"/>
      <c r="E634" s="54"/>
      <c r="G634" s="58"/>
      <c r="H634" s="59"/>
      <c r="I634" s="58"/>
      <c r="J634" s="67"/>
      <c r="K634" s="68"/>
      <c r="L634" s="67"/>
    </row>
    <row r="635" s="37" customFormat="1" ht="12.75" spans="1:12">
      <c r="A635" s="54"/>
      <c r="B635" s="54"/>
      <c r="C635" s="54"/>
      <c r="D635" s="54"/>
      <c r="E635" s="54"/>
      <c r="G635" s="58"/>
      <c r="H635" s="59"/>
      <c r="I635" s="58"/>
      <c r="J635" s="67"/>
      <c r="K635" s="68"/>
      <c r="L635" s="67"/>
    </row>
    <row r="636" s="37" customFormat="1" ht="12.75" spans="1:12">
      <c r="A636" s="54"/>
      <c r="B636" s="54"/>
      <c r="C636" s="54"/>
      <c r="D636" s="54"/>
      <c r="E636" s="54"/>
      <c r="G636" s="58"/>
      <c r="H636" s="59"/>
      <c r="I636" s="58"/>
      <c r="J636" s="67"/>
      <c r="K636" s="68"/>
      <c r="L636" s="67"/>
    </row>
    <row r="637" s="37" customFormat="1" ht="12.75" spans="1:12">
      <c r="A637" s="54"/>
      <c r="B637" s="54"/>
      <c r="C637" s="54"/>
      <c r="D637" s="54"/>
      <c r="E637" s="54"/>
      <c r="G637" s="58"/>
      <c r="H637" s="59"/>
      <c r="I637" s="58"/>
      <c r="J637" s="67"/>
      <c r="K637" s="68"/>
      <c r="L637" s="67"/>
    </row>
    <row r="638" s="37" customFormat="1" ht="12.75" spans="1:12">
      <c r="A638" s="54"/>
      <c r="B638" s="54"/>
      <c r="C638" s="54"/>
      <c r="D638" s="54"/>
      <c r="E638" s="54"/>
      <c r="G638" s="58"/>
      <c r="H638" s="59"/>
      <c r="I638" s="58"/>
      <c r="J638" s="67"/>
      <c r="K638" s="68"/>
      <c r="L638" s="67"/>
    </row>
    <row r="639" s="37" customFormat="1" ht="12.75" spans="1:12">
      <c r="G639" s="58"/>
      <c r="H639" s="59"/>
      <c r="I639" s="58"/>
      <c r="J639" s="67"/>
      <c r="K639" s="68"/>
      <c r="L639" s="67"/>
    </row>
    <row r="640" s="37" customFormat="1" ht="12.75" spans="1:12">
      <c r="G640" s="58"/>
      <c r="H640" s="59"/>
      <c r="I640" s="58"/>
      <c r="J640" s="67"/>
      <c r="K640" s="68"/>
      <c r="L640" s="67"/>
    </row>
    <row r="641" s="37" customFormat="1" ht="12.75" spans="1:12">
      <c r="G641" s="58"/>
      <c r="H641" s="59"/>
      <c r="I641" s="58"/>
      <c r="J641" s="67"/>
      <c r="K641" s="68"/>
      <c r="L641" s="67"/>
    </row>
    <row r="642" s="37" customFormat="1" ht="12.75" spans="1:12">
      <c r="G642" s="58"/>
      <c r="H642" s="59"/>
      <c r="I642" s="58"/>
      <c r="J642" s="67"/>
      <c r="K642" s="68"/>
      <c r="L642" s="67"/>
    </row>
    <row r="643" s="37" customFormat="1" ht="12.75" spans="1:12">
      <c r="G643" s="58"/>
      <c r="H643" s="59"/>
      <c r="I643" s="58"/>
      <c r="J643" s="67"/>
      <c r="K643" s="68"/>
      <c r="L643" s="67"/>
    </row>
    <row r="644" s="37" customFormat="1" ht="12.75" spans="1:12">
      <c r="G644" s="58"/>
      <c r="H644" s="59"/>
      <c r="I644" s="58"/>
      <c r="J644" s="67"/>
      <c r="K644" s="68"/>
      <c r="L644" s="67"/>
    </row>
    <row r="645" s="37" customFormat="1" ht="12.75" spans="1:12">
      <c r="A645" s="54"/>
      <c r="B645" s="54"/>
      <c r="C645" s="54"/>
      <c r="D645" s="54"/>
      <c r="E645" s="54"/>
      <c r="G645" s="58"/>
      <c r="H645" s="66"/>
      <c r="I645" s="58"/>
      <c r="J645" s="67"/>
      <c r="K645" s="68"/>
      <c r="L645" s="67"/>
    </row>
    <row r="646" s="37" customFormat="1" ht="12.75" spans="1:12">
      <c r="A646" s="54"/>
      <c r="B646" s="54"/>
      <c r="C646" s="54"/>
      <c r="D646" s="54"/>
      <c r="E646" s="54"/>
      <c r="G646" s="58"/>
      <c r="H646" s="66"/>
      <c r="I646" s="58"/>
      <c r="J646" s="67"/>
      <c r="K646" s="68"/>
      <c r="L646" s="67"/>
    </row>
    <row r="647" s="37" customFormat="1" ht="12.75" spans="1:12">
      <c r="G647" s="58"/>
      <c r="H647" s="59"/>
      <c r="I647" s="58"/>
      <c r="J647" s="67"/>
      <c r="K647" s="68"/>
      <c r="L647" s="67"/>
    </row>
    <row r="648" s="37" customFormat="1" ht="12.75" spans="1:12">
      <c r="G648" s="58"/>
      <c r="H648" s="59"/>
      <c r="I648" s="58"/>
      <c r="J648" s="67"/>
      <c r="K648" s="68"/>
      <c r="L648" s="67"/>
    </row>
    <row r="649" s="37" customFormat="1" ht="12.75" spans="1:12">
      <c r="G649" s="58"/>
      <c r="H649" s="59"/>
      <c r="I649" s="58"/>
      <c r="J649" s="67"/>
      <c r="K649" s="68"/>
      <c r="L649" s="67"/>
    </row>
    <row r="650" s="37" customFormat="1" ht="12.75" spans="1:12">
      <c r="G650" s="58"/>
      <c r="H650" s="59"/>
      <c r="I650" s="58"/>
      <c r="J650" s="67"/>
      <c r="K650" s="68"/>
      <c r="L650" s="67"/>
    </row>
    <row r="651" s="37" customFormat="1" ht="12.75" spans="1:12">
      <c r="G651" s="58"/>
      <c r="H651" s="59"/>
      <c r="I651" s="58"/>
      <c r="J651" s="67"/>
      <c r="K651" s="68"/>
      <c r="L651" s="67"/>
    </row>
    <row r="652" s="37" customFormat="1" ht="12.75" spans="1:12">
      <c r="A652" s="54"/>
      <c r="B652" s="54"/>
      <c r="C652" s="54"/>
      <c r="D652" s="54"/>
      <c r="E652" s="54"/>
      <c r="G652" s="58"/>
      <c r="H652" s="59"/>
      <c r="I652" s="58"/>
      <c r="J652" s="67"/>
      <c r="K652" s="68"/>
      <c r="L652" s="67"/>
    </row>
    <row r="653" s="37" customFormat="1" ht="12.75" spans="1:12">
      <c r="A653" s="54"/>
      <c r="B653" s="54"/>
      <c r="C653" s="54"/>
      <c r="D653" s="54"/>
      <c r="E653" s="54"/>
      <c r="G653" s="58"/>
      <c r="H653" s="59"/>
      <c r="I653" s="58"/>
      <c r="J653" s="67"/>
      <c r="K653" s="68"/>
      <c r="L653" s="67"/>
    </row>
    <row r="654" s="37" customFormat="1" ht="12.75" spans="1:12">
      <c r="A654" s="54"/>
      <c r="B654" s="54"/>
      <c r="C654" s="54"/>
      <c r="D654" s="54"/>
      <c r="E654" s="54"/>
      <c r="G654" s="58"/>
      <c r="H654" s="59"/>
      <c r="I654" s="58"/>
      <c r="J654" s="67"/>
      <c r="K654" s="68"/>
      <c r="L654" s="67"/>
    </row>
    <row r="655" s="37" customFormat="1" ht="12.75" spans="1:12">
      <c r="A655" s="54"/>
      <c r="B655" s="54"/>
      <c r="C655" s="54"/>
      <c r="D655" s="54"/>
      <c r="E655" s="54"/>
      <c r="G655" s="58"/>
      <c r="H655" s="59"/>
      <c r="I655" s="58"/>
      <c r="J655" s="67"/>
      <c r="K655" s="68"/>
      <c r="L655" s="67"/>
    </row>
    <row r="656" s="37" customFormat="1" ht="12.75" spans="1:12">
      <c r="G656" s="58"/>
      <c r="H656" s="59"/>
      <c r="I656" s="58"/>
      <c r="J656" s="67"/>
      <c r="K656" s="68"/>
      <c r="L656" s="67"/>
    </row>
    <row r="657" s="37" customFormat="1" ht="12.75" spans="1:13">
      <c r="G657" s="58"/>
      <c r="H657" s="59"/>
      <c r="I657" s="58"/>
      <c r="J657" s="67"/>
      <c r="K657" s="68"/>
      <c r="L657" s="67"/>
    </row>
    <row r="658" s="37" customFormat="1" ht="12.75" spans="1:13">
      <c r="G658" s="58"/>
      <c r="H658" s="59"/>
      <c r="I658" s="58"/>
      <c r="J658" s="67"/>
      <c r="K658" s="68"/>
      <c r="L658" s="67"/>
    </row>
    <row r="659" s="37" customFormat="1" ht="12.75" spans="1:13">
      <c r="G659" s="58"/>
      <c r="H659" s="59"/>
      <c r="I659" s="58"/>
      <c r="J659" s="67"/>
      <c r="K659" s="68"/>
      <c r="L659" s="67"/>
    </row>
    <row r="660" s="37" customFormat="1" ht="12.75" spans="1:13">
      <c r="G660" s="58"/>
      <c r="H660" s="59"/>
      <c r="I660" s="58"/>
      <c r="J660" s="67"/>
      <c r="K660" s="68"/>
      <c r="L660" s="67"/>
    </row>
    <row r="661" s="37" customFormat="1" ht="12.75" spans="1:13">
      <c r="G661" s="58"/>
      <c r="H661" s="59"/>
      <c r="I661" s="58"/>
      <c r="J661" s="67"/>
      <c r="K661" s="68"/>
      <c r="L661" s="67"/>
    </row>
    <row r="662" s="37" customFormat="1" ht="12.75" spans="1:13">
      <c r="A662" s="54"/>
      <c r="B662" s="54"/>
      <c r="C662" s="54"/>
      <c r="D662" s="54"/>
      <c r="E662" s="54"/>
      <c r="G662" s="58"/>
      <c r="H662" s="59"/>
      <c r="I662" s="58"/>
      <c r="J662" s="67"/>
      <c r="K662" s="68"/>
      <c r="L662" s="67"/>
    </row>
    <row r="663" s="37" customFormat="1" ht="12.75" spans="1:13">
      <c r="A663" s="54"/>
      <c r="B663" s="54"/>
      <c r="C663" s="54"/>
      <c r="D663" s="54"/>
      <c r="E663" s="54"/>
      <c r="G663" s="58"/>
      <c r="H663" s="59"/>
      <c r="I663" s="58"/>
      <c r="J663" s="67"/>
      <c r="K663" s="68"/>
      <c r="L663" s="67"/>
    </row>
    <row r="664" s="37" customFormat="1" ht="12.75" spans="1:13">
      <c r="A664" s="54"/>
      <c r="B664" s="54"/>
      <c r="C664" s="54"/>
      <c r="D664" s="54"/>
      <c r="E664" s="54"/>
      <c r="G664" s="58"/>
      <c r="H664" s="59"/>
      <c r="I664" s="58"/>
      <c r="J664" s="67"/>
      <c r="K664" s="68"/>
      <c r="L664" s="67"/>
    </row>
    <row r="665" s="37" customFormat="1" ht="12.75" spans="1:13">
      <c r="A665" s="54"/>
      <c r="B665" s="54"/>
      <c r="C665" s="54"/>
      <c r="D665" s="54"/>
      <c r="E665" s="54"/>
      <c r="G665" s="58"/>
      <c r="H665" s="59"/>
      <c r="I665" s="58"/>
      <c r="J665" s="67"/>
      <c r="K665" s="68"/>
      <c r="L665" s="67"/>
    </row>
    <row r="666" s="37" customFormat="1" ht="12.75" spans="1:13">
      <c r="A666" s="54"/>
      <c r="B666" s="54"/>
      <c r="C666" s="54"/>
      <c r="D666" s="54"/>
      <c r="E666" s="54"/>
      <c r="G666" s="58"/>
      <c r="H666" s="59"/>
      <c r="I666" s="58"/>
      <c r="J666" s="67"/>
      <c r="K666" s="68"/>
      <c r="L666" s="67"/>
    </row>
    <row r="667" s="37" customFormat="1" ht="12.75" spans="1:13">
      <c r="G667" s="58"/>
      <c r="H667" s="59"/>
      <c r="I667" s="58" t="e">
        <f>ROUNDDOWN(G667/H667,0)</f>
        <v>#DIV/0!</v>
      </c>
      <c r="J667" s="67"/>
      <c r="K667" s="68"/>
      <c r="L667" s="67"/>
    </row>
    <row r="668" s="37" customFormat="1" ht="12.75" spans="1:13">
      <c r="G668" s="58"/>
      <c r="H668" s="59"/>
      <c r="I668" s="58" t="e">
        <f>ROUNDDOWN(G668/H668,0)</f>
        <v>#DIV/0!</v>
      </c>
      <c r="J668" s="67"/>
      <c r="K668" s="68"/>
      <c r="L668" s="67"/>
    </row>
    <row r="669" s="37" customFormat="1" ht="12.75" spans="1:13">
      <c r="G669" s="58"/>
      <c r="H669" s="59"/>
      <c r="I669" s="58"/>
      <c r="J669" s="67"/>
      <c r="K669" s="68"/>
      <c r="L669" s="67"/>
    </row>
    <row r="670" s="37" customFormat="1" ht="12.75" spans="1:13">
      <c r="G670" s="58"/>
      <c r="H670" s="59"/>
      <c r="I670" s="58"/>
      <c r="J670" s="67"/>
      <c r="K670" s="68"/>
      <c r="L670" s="67"/>
    </row>
    <row r="671" s="37" customFormat="1" ht="12.75" spans="1:13">
      <c r="G671" s="58"/>
      <c r="H671" s="59"/>
      <c r="I671" s="58"/>
      <c r="J671" s="67"/>
      <c r="K671" s="68"/>
      <c r="L671" s="67"/>
    </row>
    <row r="672" s="37" customFormat="1" ht="12.75" spans="1:13">
      <c r="A672" s="54"/>
      <c r="B672" s="54"/>
      <c r="C672" s="54"/>
      <c r="D672" s="54"/>
      <c r="E672" s="54"/>
      <c r="G672" s="58"/>
      <c r="H672" s="59"/>
      <c r="I672" s="58"/>
      <c r="J672" s="67"/>
      <c r="K672" s="68"/>
      <c r="L672" s="67"/>
      <c r="M672" s="72"/>
    </row>
    <row r="673" s="37" customFormat="1" ht="12.75" spans="1:13">
      <c r="A673" s="54"/>
      <c r="B673" s="54"/>
      <c r="C673" s="54"/>
      <c r="D673" s="54"/>
      <c r="E673" s="54"/>
      <c r="G673" s="58"/>
      <c r="H673" s="59"/>
      <c r="I673" s="58"/>
      <c r="J673" s="67"/>
      <c r="K673" s="68"/>
      <c r="L673" s="67"/>
    </row>
    <row r="674" s="37" customFormat="1" ht="12.75" spans="1:13">
      <c r="A674" s="54"/>
      <c r="B674" s="54"/>
      <c r="C674" s="54"/>
      <c r="D674" s="54"/>
      <c r="E674" s="54"/>
      <c r="G674" s="58"/>
      <c r="H674" s="59"/>
      <c r="I674" s="58"/>
      <c r="J674" s="67"/>
      <c r="K674" s="68"/>
      <c r="L674" s="67"/>
    </row>
    <row r="675" s="37" customFormat="1" ht="12.75" spans="1:13">
      <c r="A675" s="54"/>
      <c r="B675" s="54"/>
      <c r="C675" s="54"/>
      <c r="D675" s="54"/>
      <c r="E675" s="54"/>
      <c r="G675" s="58"/>
      <c r="H675" s="59"/>
      <c r="I675" s="58"/>
      <c r="J675" s="67"/>
      <c r="K675" s="68"/>
      <c r="L675" s="67"/>
    </row>
    <row r="676" s="37" customFormat="1" ht="12.75" spans="1:13">
      <c r="G676" s="58"/>
      <c r="H676" s="59"/>
      <c r="I676" s="58"/>
      <c r="J676" s="67"/>
      <c r="K676" s="68"/>
      <c r="L676" s="67"/>
    </row>
    <row r="677" s="37" customFormat="1" ht="12.75" spans="1:13">
      <c r="G677" s="58"/>
      <c r="H677" s="59"/>
      <c r="I677" s="58"/>
      <c r="J677" s="67"/>
      <c r="K677" s="68"/>
      <c r="L677" s="67"/>
    </row>
    <row r="678" s="37" customFormat="1" ht="12.75" spans="1:13">
      <c r="G678" s="58"/>
      <c r="H678" s="59"/>
      <c r="I678" s="58"/>
      <c r="J678" s="67"/>
      <c r="K678" s="68"/>
      <c r="L678" s="67"/>
    </row>
    <row r="679" s="37" customFormat="1" ht="12.75" spans="1:13">
      <c r="G679" s="58"/>
      <c r="H679" s="59"/>
      <c r="I679" s="58"/>
      <c r="J679" s="67"/>
      <c r="K679" s="68"/>
      <c r="L679" s="67"/>
    </row>
    <row r="680" s="37" customFormat="1" ht="12.75" spans="1:13">
      <c r="G680" s="58"/>
      <c r="H680" s="59"/>
      <c r="I680" s="58"/>
      <c r="J680" s="67"/>
      <c r="K680" s="68"/>
      <c r="L680" s="67"/>
    </row>
    <row r="681" s="37" customFormat="1" ht="12.75" spans="1:13">
      <c r="G681" s="58"/>
      <c r="H681" s="59"/>
      <c r="I681" s="58"/>
      <c r="J681" s="67"/>
      <c r="K681" s="68"/>
      <c r="L681" s="67"/>
    </row>
    <row r="682" s="37" customFormat="1" ht="12.75" spans="1:13">
      <c r="A682" s="54"/>
      <c r="B682" s="54"/>
      <c r="C682" s="54"/>
      <c r="D682" s="54"/>
      <c r="E682" s="54"/>
      <c r="G682" s="58"/>
      <c r="H682" s="59"/>
      <c r="I682" s="58"/>
      <c r="J682" s="67"/>
      <c r="K682" s="68"/>
      <c r="L682" s="67"/>
    </row>
    <row r="683" s="37" customFormat="1" ht="12.75" spans="1:13">
      <c r="A683" s="54"/>
      <c r="B683" s="54"/>
      <c r="C683" s="54"/>
      <c r="D683" s="54"/>
      <c r="E683" s="54"/>
      <c r="G683" s="58"/>
      <c r="H683" s="59"/>
      <c r="I683" s="58"/>
      <c r="J683" s="67"/>
      <c r="K683" s="68"/>
      <c r="L683" s="67"/>
      <c r="M683" s="72"/>
    </row>
    <row r="684" s="37" customFormat="1" ht="12.75" spans="1:13">
      <c r="A684" s="54"/>
      <c r="B684" s="54"/>
      <c r="C684" s="54"/>
      <c r="D684" s="54"/>
      <c r="E684" s="54"/>
      <c r="G684" s="58"/>
      <c r="H684" s="59"/>
      <c r="I684" s="58"/>
      <c r="J684" s="67"/>
      <c r="K684" s="68"/>
      <c r="L684" s="67"/>
    </row>
    <row r="685" s="37" customFormat="1" ht="12.75" spans="1:13">
      <c r="G685" s="58"/>
      <c r="H685" s="59"/>
      <c r="I685" s="58"/>
      <c r="J685" s="67"/>
      <c r="K685" s="68"/>
      <c r="L685" s="67"/>
    </row>
    <row r="686" s="37" customFormat="1" ht="12.75" spans="1:13">
      <c r="G686" s="58"/>
      <c r="H686" s="59"/>
      <c r="I686" s="58"/>
      <c r="J686" s="67"/>
      <c r="K686" s="68"/>
      <c r="L686" s="67"/>
    </row>
    <row r="687" s="37" customFormat="1" ht="12.75" spans="1:13">
      <c r="G687" s="58"/>
      <c r="H687" s="59"/>
      <c r="I687" s="58" t="e">
        <f>ROUNDDOWN(G687/H687,0)</f>
        <v>#DIV/0!</v>
      </c>
      <c r="J687" s="67"/>
      <c r="K687" s="68"/>
      <c r="L687" s="67"/>
    </row>
    <row r="688" s="37" customFormat="1" ht="12.75" spans="1:13">
      <c r="G688" s="58"/>
      <c r="H688" s="59"/>
      <c r="I688" s="58" t="e">
        <f>ROUNDDOWN(G688/H688,0)</f>
        <v>#DIV/0!</v>
      </c>
      <c r="J688" s="67"/>
      <c r="K688" s="68"/>
      <c r="L688" s="67"/>
    </row>
    <row r="689" s="37" customFormat="1" ht="12.75" spans="1:12">
      <c r="G689" s="58"/>
      <c r="H689" s="59"/>
      <c r="I689" s="58"/>
      <c r="J689" s="67"/>
      <c r="K689" s="68"/>
      <c r="L689" s="67"/>
    </row>
    <row r="690" s="37" customFormat="1" ht="12.75" spans="1:12">
      <c r="A690" s="54"/>
      <c r="B690" s="54"/>
      <c r="C690" s="54"/>
      <c r="D690" s="54"/>
      <c r="E690" s="54"/>
      <c r="G690" s="58"/>
      <c r="H690" s="59"/>
      <c r="I690" s="58"/>
      <c r="J690" s="67"/>
      <c r="K690" s="68"/>
      <c r="L690" s="67"/>
    </row>
    <row r="691" s="37" customFormat="1" ht="12.75" spans="1:12">
      <c r="A691" s="54"/>
      <c r="B691" s="54"/>
      <c r="C691" s="54"/>
      <c r="D691" s="54"/>
      <c r="E691" s="54"/>
      <c r="G691" s="58"/>
      <c r="H691" s="59"/>
      <c r="I691" s="58"/>
      <c r="J691" s="67"/>
      <c r="K691" s="68"/>
      <c r="L691" s="67"/>
    </row>
    <row r="692" s="37" customFormat="1" ht="12.75" spans="1:12">
      <c r="A692" s="54"/>
      <c r="B692" s="54"/>
      <c r="C692" s="54"/>
      <c r="D692" s="54"/>
      <c r="E692" s="54"/>
      <c r="G692" s="58"/>
      <c r="H692" s="59"/>
      <c r="I692" s="58"/>
      <c r="J692" s="67"/>
      <c r="K692" s="68"/>
      <c r="L692" s="67"/>
    </row>
    <row r="693" s="37" customFormat="1" ht="12.75" spans="1:12">
      <c r="A693" s="54"/>
      <c r="B693" s="54"/>
      <c r="C693" s="54"/>
      <c r="D693" s="54"/>
      <c r="E693" s="54"/>
      <c r="G693" s="58"/>
      <c r="H693" s="59"/>
      <c r="I693" s="58"/>
      <c r="J693" s="67"/>
      <c r="K693" s="68"/>
      <c r="L693" s="67"/>
    </row>
    <row r="694" s="37" customFormat="1" ht="12.75" spans="1:12">
      <c r="A694" s="54"/>
      <c r="B694" s="54"/>
      <c r="C694" s="54"/>
      <c r="D694" s="54"/>
      <c r="E694" s="54"/>
      <c r="G694" s="58"/>
      <c r="H694" s="59"/>
      <c r="I694" s="58"/>
      <c r="J694" s="67"/>
      <c r="K694" s="68"/>
      <c r="L694" s="67"/>
    </row>
    <row r="695" s="37" customFormat="1" ht="12.75" spans="1:12">
      <c r="A695" s="54"/>
      <c r="B695" s="54"/>
      <c r="C695" s="54"/>
      <c r="D695" s="54"/>
      <c r="E695" s="54"/>
      <c r="G695" s="58"/>
      <c r="H695" s="59"/>
      <c r="I695" s="58"/>
      <c r="J695" s="67"/>
      <c r="K695" s="68"/>
      <c r="L695" s="67"/>
    </row>
    <row r="696" s="37" customFormat="1" ht="12.75" spans="1:12">
      <c r="G696" s="58"/>
      <c r="H696" s="59"/>
      <c r="I696" s="58"/>
      <c r="J696" s="67"/>
      <c r="K696" s="68"/>
      <c r="L696" s="67"/>
    </row>
    <row r="697" s="37" customFormat="1" ht="12.75" spans="1:12">
      <c r="G697" s="58"/>
      <c r="H697" s="59"/>
      <c r="I697" s="58"/>
      <c r="J697" s="67"/>
      <c r="K697" s="68"/>
      <c r="L697" s="67"/>
    </row>
    <row r="698" s="37" customFormat="1" ht="12.75" spans="1:12">
      <c r="G698" s="58"/>
      <c r="H698" s="59"/>
      <c r="I698" s="58" t="e">
        <f>ROUNDDOWN(G698/H698,0)</f>
        <v>#DIV/0!</v>
      </c>
      <c r="J698" s="67"/>
      <c r="K698" s="68"/>
      <c r="L698" s="67"/>
    </row>
    <row r="699" s="37" customFormat="1" ht="12.75" spans="1:12">
      <c r="G699" s="58"/>
      <c r="H699" s="59"/>
      <c r="I699" s="58"/>
      <c r="J699" s="67"/>
      <c r="K699" s="68"/>
      <c r="L699" s="67"/>
    </row>
    <row r="700" s="37" customFormat="1" ht="12.75" spans="1:12">
      <c r="G700" s="58"/>
      <c r="H700" s="59"/>
      <c r="I700" s="58"/>
      <c r="J700" s="67"/>
      <c r="K700" s="68"/>
      <c r="L700" s="67"/>
    </row>
    <row r="701" s="37" customFormat="1" ht="12.75" spans="1:12">
      <c r="G701" s="58"/>
      <c r="H701" s="59"/>
      <c r="I701" s="58"/>
      <c r="J701" s="67"/>
      <c r="K701" s="68"/>
      <c r="L701" s="67"/>
    </row>
    <row r="702" s="37" customFormat="1" ht="12.75" spans="1:12">
      <c r="A702" s="54"/>
      <c r="B702" s="54"/>
      <c r="C702" s="54"/>
      <c r="D702" s="54"/>
      <c r="E702" s="54"/>
      <c r="G702" s="58"/>
      <c r="H702" s="59"/>
      <c r="I702" s="58"/>
      <c r="K702" s="60"/>
    </row>
    <row r="703" s="37" customFormat="1" ht="12.75" spans="1:12">
      <c r="A703" s="54"/>
      <c r="B703" s="54"/>
      <c r="C703" s="54"/>
      <c r="D703" s="54"/>
      <c r="E703" s="54"/>
      <c r="G703" s="58"/>
      <c r="H703" s="59"/>
      <c r="I703" s="58"/>
      <c r="K703" s="60"/>
    </row>
    <row r="704" s="37" customFormat="1" ht="12.75" spans="1:12">
      <c r="A704" s="54"/>
      <c r="B704" s="54"/>
      <c r="C704" s="54"/>
      <c r="D704" s="54"/>
      <c r="E704" s="54"/>
      <c r="G704" s="58"/>
      <c r="H704" s="59"/>
      <c r="I704" s="58"/>
      <c r="K704" s="60"/>
    </row>
    <row r="705" s="37" customFormat="1" ht="12.75" spans="1:11">
      <c r="G705" s="58"/>
      <c r="H705" s="59"/>
      <c r="I705" s="58"/>
      <c r="K705" s="60"/>
    </row>
    <row r="706" s="37" customFormat="1" ht="12.75" spans="1:11">
      <c r="G706" s="58"/>
      <c r="H706" s="59"/>
      <c r="I706" s="58"/>
      <c r="K706" s="60"/>
    </row>
    <row r="707" s="37" customFormat="1" ht="12.75" spans="1:11">
      <c r="G707" s="58"/>
      <c r="H707" s="59"/>
      <c r="I707" s="58"/>
      <c r="K707" s="60"/>
    </row>
    <row r="708" s="37" customFormat="1" ht="12.75" spans="1:11">
      <c r="G708" s="58"/>
      <c r="H708" s="59"/>
      <c r="I708" s="58"/>
      <c r="K708" s="60"/>
    </row>
    <row r="709" s="37" customFormat="1" ht="12.75" spans="1:11">
      <c r="G709" s="58"/>
      <c r="H709" s="59"/>
      <c r="I709" s="58"/>
      <c r="K709" s="60"/>
    </row>
    <row r="710" s="37" customFormat="1" ht="12.75" spans="1:11">
      <c r="G710" s="58"/>
      <c r="H710" s="59"/>
      <c r="I710" s="58"/>
      <c r="K710" s="60"/>
    </row>
    <row r="711" s="37" customFormat="1" ht="12.75" spans="1:11">
      <c r="G711" s="58"/>
      <c r="H711" s="59"/>
      <c r="I711" s="58"/>
      <c r="K711" s="60"/>
    </row>
    <row r="712" s="37" customFormat="1" ht="12.75" spans="1:11">
      <c r="A712" s="54"/>
      <c r="B712" s="54"/>
      <c r="C712" s="54"/>
      <c r="D712" s="54"/>
      <c r="E712" s="54"/>
      <c r="G712" s="58"/>
      <c r="H712" s="59"/>
      <c r="I712" s="58"/>
      <c r="K712" s="60"/>
    </row>
    <row r="713" s="37" customFormat="1" ht="12.75" spans="1:11">
      <c r="A713" s="54"/>
      <c r="B713" s="54"/>
      <c r="C713" s="54"/>
      <c r="D713" s="54"/>
      <c r="E713" s="54"/>
      <c r="G713" s="58"/>
      <c r="H713" s="59"/>
      <c r="I713" s="58"/>
      <c r="K713" s="60"/>
    </row>
    <row r="714" s="37" customFormat="1" ht="12.75" spans="1:11">
      <c r="A714" s="54"/>
      <c r="B714" s="54"/>
      <c r="C714" s="54"/>
      <c r="D714" s="54"/>
      <c r="E714" s="54"/>
      <c r="G714" s="58"/>
      <c r="H714" s="59"/>
      <c r="I714" s="58"/>
      <c r="K714" s="60"/>
    </row>
    <row r="715" s="37" customFormat="1" ht="12.75" spans="1:11">
      <c r="A715" s="54"/>
      <c r="B715" s="54"/>
      <c r="C715" s="54"/>
      <c r="D715" s="54"/>
      <c r="E715" s="54"/>
      <c r="G715" s="58"/>
      <c r="H715" s="59"/>
      <c r="I715" s="58"/>
      <c r="K715" s="60"/>
    </row>
    <row r="716" s="37" customFormat="1" ht="12.75" spans="1:11">
      <c r="A716" s="54"/>
      <c r="B716" s="54"/>
      <c r="C716" s="54"/>
      <c r="D716" s="54"/>
      <c r="E716" s="54"/>
      <c r="G716" s="58"/>
      <c r="H716" s="59"/>
      <c r="I716" s="58"/>
      <c r="K716" s="60"/>
    </row>
    <row r="717" s="37" customFormat="1" ht="12.75" spans="1:11">
      <c r="G717" s="58"/>
      <c r="H717" s="59"/>
      <c r="I717" s="58"/>
      <c r="K717" s="60"/>
    </row>
    <row r="718" s="37" customFormat="1" ht="12.75" spans="1:11">
      <c r="G718" s="58"/>
      <c r="H718" s="59"/>
      <c r="I718" s="58" t="e">
        <f>ROUNDDOWN(G718/H718,0)</f>
        <v>#DIV/0!</v>
      </c>
      <c r="K718" s="60"/>
    </row>
    <row r="719" s="37" customFormat="1" ht="12.75" spans="1:11">
      <c r="G719" s="58"/>
      <c r="H719" s="59"/>
      <c r="I719" s="58" t="e">
        <f>ROUNDDOWN(G719/H719,0)</f>
        <v>#DIV/0!</v>
      </c>
      <c r="K719" s="60"/>
    </row>
    <row r="720" s="37" customFormat="1" ht="12.75" spans="1:11">
      <c r="G720" s="58"/>
      <c r="H720" s="59"/>
      <c r="I720" s="58"/>
      <c r="K720" s="60"/>
    </row>
    <row r="721" s="37" customFormat="1" ht="12.75" spans="1:11">
      <c r="G721" s="58"/>
      <c r="H721" s="59"/>
      <c r="I721" s="58"/>
      <c r="K721" s="60"/>
    </row>
    <row r="722" s="37" customFormat="1" ht="12.75" spans="1:11">
      <c r="G722" s="58"/>
      <c r="H722" s="59"/>
      <c r="I722" s="58"/>
      <c r="K722" s="60"/>
    </row>
    <row r="723" s="37" customFormat="1" ht="12.75" spans="1:11">
      <c r="A723" s="54"/>
      <c r="B723" s="54"/>
      <c r="C723" s="54"/>
      <c r="D723" s="54"/>
      <c r="E723" s="54"/>
      <c r="G723" s="58"/>
      <c r="H723" s="59"/>
      <c r="I723" s="58"/>
      <c r="K723" s="60"/>
    </row>
    <row r="724" s="37" customFormat="1" ht="12.75" spans="1:11">
      <c r="A724" s="54"/>
      <c r="B724" s="54"/>
      <c r="C724" s="54"/>
      <c r="D724" s="54"/>
      <c r="E724" s="54"/>
      <c r="G724" s="58"/>
      <c r="H724" s="59"/>
      <c r="I724" s="58"/>
      <c r="K724" s="60"/>
    </row>
    <row r="725" s="37" customFormat="1" ht="12.75" spans="1:11">
      <c r="A725" s="54"/>
      <c r="B725" s="54"/>
      <c r="C725" s="54"/>
      <c r="D725" s="54"/>
      <c r="E725" s="54"/>
      <c r="G725" s="58"/>
      <c r="H725" s="59"/>
      <c r="I725" s="58"/>
      <c r="K725" s="60"/>
    </row>
    <row r="726" s="37" customFormat="1" ht="12.75" spans="1:11">
      <c r="G726" s="58"/>
      <c r="H726" s="59"/>
      <c r="I726" s="58"/>
      <c r="K726" s="60"/>
    </row>
    <row r="727" s="37" customFormat="1" ht="12.75" spans="1:11">
      <c r="G727" s="58"/>
      <c r="H727" s="59"/>
      <c r="I727" s="58"/>
      <c r="K727" s="60"/>
    </row>
    <row r="728" s="37" customFormat="1" ht="12.75" spans="1:11">
      <c r="G728" s="58"/>
      <c r="H728" s="59"/>
      <c r="I728" s="58"/>
      <c r="K728" s="60"/>
    </row>
    <row r="729" s="37" customFormat="1" ht="12.75" spans="1:11">
      <c r="G729" s="58"/>
      <c r="H729" s="59"/>
      <c r="I729" s="58"/>
      <c r="K729" s="60"/>
    </row>
    <row r="730" s="37" customFormat="1" ht="12.75" spans="1:11">
      <c r="G730" s="58"/>
      <c r="H730" s="59"/>
      <c r="I730" s="58"/>
      <c r="K730" s="60"/>
    </row>
    <row r="731" s="37" customFormat="1" ht="12.75" spans="1:11">
      <c r="A731" s="54"/>
      <c r="B731" s="54"/>
      <c r="C731" s="54"/>
      <c r="D731" s="54"/>
      <c r="E731" s="54"/>
      <c r="G731" s="58"/>
      <c r="H731" s="59"/>
      <c r="I731" s="58"/>
      <c r="K731" s="60"/>
    </row>
    <row r="732" s="37" customFormat="1" ht="12.75" spans="1:11">
      <c r="A732" s="54"/>
      <c r="B732" s="54"/>
      <c r="C732" s="54"/>
      <c r="D732" s="54"/>
      <c r="E732" s="54"/>
      <c r="G732" s="58"/>
      <c r="H732" s="59"/>
      <c r="I732" s="58"/>
      <c r="K732" s="60"/>
    </row>
    <row r="733" s="37" customFormat="1" ht="12.75" spans="1:11">
      <c r="A733" s="54"/>
      <c r="B733" s="54"/>
      <c r="C733" s="54"/>
      <c r="D733" s="54"/>
      <c r="E733" s="54"/>
      <c r="G733" s="58"/>
      <c r="H733" s="59"/>
      <c r="I733" s="58"/>
      <c r="K733" s="60"/>
    </row>
    <row r="734" s="37" customFormat="1" ht="12.75" spans="1:11">
      <c r="A734" s="54"/>
      <c r="B734" s="54"/>
      <c r="C734" s="54"/>
      <c r="D734" s="54"/>
      <c r="E734" s="54"/>
      <c r="G734" s="58"/>
      <c r="H734" s="59"/>
      <c r="I734" s="58"/>
      <c r="K734" s="60"/>
    </row>
    <row r="735" s="37" customFormat="1" ht="12.75" spans="1:11">
      <c r="G735" s="58"/>
      <c r="H735" s="59"/>
      <c r="I735" s="58"/>
      <c r="K735" s="60"/>
    </row>
    <row r="736" s="37" customFormat="1" ht="12.75" spans="1:11">
      <c r="G736" s="58"/>
      <c r="H736" s="59"/>
      <c r="I736" s="58"/>
      <c r="K736" s="60"/>
    </row>
    <row r="737" s="37" customFormat="1" ht="12.75" spans="1:14">
      <c r="G737" s="58"/>
      <c r="H737" s="59"/>
      <c r="I737" s="58"/>
      <c r="K737" s="60"/>
    </row>
    <row r="738" s="37" customFormat="1" ht="12.75" spans="1:14">
      <c r="G738" s="58"/>
      <c r="H738" s="59"/>
      <c r="I738" s="58"/>
      <c r="K738" s="60"/>
    </row>
    <row r="739" s="37" customFormat="1" ht="12.75" spans="1:14">
      <c r="G739" s="58"/>
      <c r="H739" s="59"/>
      <c r="I739" s="58"/>
      <c r="K739" s="60"/>
    </row>
    <row r="740" s="37" customFormat="1" ht="12.75" spans="1:14">
      <c r="A740" s="54"/>
      <c r="B740" s="54"/>
      <c r="C740" s="54"/>
      <c r="D740" s="54"/>
      <c r="E740" s="54"/>
      <c r="G740" s="58"/>
      <c r="H740" s="59"/>
      <c r="I740" s="58" t="e">
        <f>ROUNDDOWN(G740/H740,0)</f>
        <v>#DIV/0!</v>
      </c>
      <c r="K740" s="60"/>
    </row>
    <row r="741" s="37" customFormat="1" ht="12.75" spans="1:14">
      <c r="A741" s="54"/>
      <c r="B741" s="54"/>
      <c r="C741" s="54"/>
      <c r="D741" s="54"/>
      <c r="E741" s="54"/>
      <c r="G741" s="58"/>
      <c r="H741" s="59"/>
      <c r="I741" s="58" t="e">
        <f>ROUNDDOWN(G741/H741,0)</f>
        <v>#DIV/0!</v>
      </c>
      <c r="K741" s="60"/>
    </row>
    <row r="742" s="37" customFormat="1" ht="12.75" spans="1:14">
      <c r="A742" s="54"/>
      <c r="B742" s="54"/>
      <c r="C742" s="54"/>
      <c r="D742" s="54"/>
      <c r="E742" s="54"/>
      <c r="G742" s="58"/>
      <c r="H742" s="59"/>
      <c r="I742" s="58"/>
      <c r="K742" s="60"/>
      <c r="N742" s="62"/>
    </row>
    <row r="743" s="37" customFormat="1" ht="12.75" spans="1:14">
      <c r="A743" s="54"/>
      <c r="B743" s="54"/>
      <c r="C743" s="54"/>
      <c r="D743" s="54"/>
      <c r="E743" s="54"/>
      <c r="G743" s="58"/>
      <c r="H743" s="59"/>
      <c r="I743" s="58"/>
      <c r="K743" s="60"/>
      <c r="N743" s="62"/>
    </row>
    <row r="744" s="37" customFormat="1" ht="12.75" spans="1:14">
      <c r="G744" s="58"/>
      <c r="H744" s="59"/>
      <c r="I744" s="58"/>
      <c r="K744" s="60"/>
      <c r="N744" s="62"/>
    </row>
    <row r="745" s="37" customFormat="1" ht="12.75" spans="1:14">
      <c r="G745" s="58"/>
      <c r="H745" s="59"/>
      <c r="I745" s="58"/>
      <c r="K745" s="60"/>
      <c r="N745" s="62"/>
    </row>
    <row r="746" s="37" customFormat="1" ht="12.75" spans="1:14">
      <c r="G746" s="58"/>
      <c r="H746" s="59"/>
      <c r="I746" s="58"/>
      <c r="K746" s="60"/>
    </row>
    <row r="747" s="37" customFormat="1" ht="12.75" spans="1:14">
      <c r="G747" s="58"/>
      <c r="H747" s="59"/>
      <c r="I747" s="58"/>
      <c r="K747" s="60"/>
    </row>
    <row r="748" s="37" customFormat="1" ht="12.75" spans="1:14">
      <c r="G748" s="58"/>
      <c r="H748" s="59"/>
      <c r="I748" s="58"/>
      <c r="K748" s="60"/>
    </row>
    <row r="749" s="37" customFormat="1" ht="12.75" spans="1:14">
      <c r="G749" s="58"/>
      <c r="H749" s="59"/>
      <c r="I749" s="58"/>
      <c r="K749" s="60"/>
    </row>
    <row r="750" s="37" customFormat="1" ht="12.75" spans="1:14">
      <c r="A750" s="54"/>
      <c r="B750" s="54"/>
      <c r="C750" s="54"/>
      <c r="D750" s="54"/>
      <c r="E750" s="54"/>
      <c r="G750" s="58"/>
      <c r="H750" s="59"/>
      <c r="I750" s="58"/>
      <c r="K750" s="60"/>
    </row>
    <row r="751" s="37" customFormat="1" ht="12.75" spans="1:14">
      <c r="A751" s="54"/>
      <c r="B751" s="54"/>
      <c r="C751" s="54"/>
      <c r="D751" s="54"/>
      <c r="E751" s="54"/>
      <c r="G751" s="58"/>
      <c r="H751" s="59"/>
      <c r="I751" s="58"/>
      <c r="K751" s="60"/>
    </row>
    <row r="752" s="37" customFormat="1" ht="12.75" spans="1:14">
      <c r="A752" s="54"/>
      <c r="B752" s="54"/>
      <c r="C752" s="54"/>
      <c r="D752" s="54"/>
      <c r="E752" s="54"/>
      <c r="G752" s="58"/>
      <c r="H752" s="59"/>
      <c r="I752" s="58"/>
      <c r="K752" s="60"/>
    </row>
    <row r="753" s="37" customFormat="1" ht="12.75" spans="1:12">
      <c r="A753" s="54"/>
      <c r="B753" s="54"/>
      <c r="C753" s="54"/>
      <c r="D753" s="54"/>
      <c r="E753" s="54"/>
      <c r="G753" s="58"/>
      <c r="H753" s="59"/>
      <c r="I753" s="58"/>
      <c r="K753" s="60"/>
    </row>
    <row r="754" s="37" customFormat="1" ht="12.75" spans="1:12">
      <c r="A754" s="54"/>
      <c r="B754" s="54"/>
      <c r="C754" s="54"/>
      <c r="D754" s="54"/>
      <c r="E754" s="54"/>
      <c r="G754" s="58"/>
      <c r="H754" s="59"/>
      <c r="I754" s="58"/>
      <c r="J754" s="67"/>
      <c r="K754" s="68"/>
      <c r="L754" s="67"/>
    </row>
    <row r="755" s="37" customFormat="1" ht="12.75" spans="1:12">
      <c r="A755" s="54"/>
      <c r="B755" s="54"/>
      <c r="C755" s="54"/>
      <c r="D755" s="54"/>
      <c r="E755" s="54"/>
      <c r="G755" s="58"/>
      <c r="H755" s="59"/>
      <c r="I755" s="58"/>
      <c r="J755" s="67"/>
      <c r="K755" s="68"/>
      <c r="L755" s="67"/>
    </row>
    <row r="756" s="37" customFormat="1" ht="12.75" spans="1:12">
      <c r="A756" s="54"/>
      <c r="B756" s="54"/>
      <c r="C756" s="54"/>
      <c r="D756" s="54"/>
      <c r="E756" s="54"/>
      <c r="G756" s="58"/>
      <c r="H756" s="59"/>
      <c r="I756" s="58"/>
      <c r="J756" s="67"/>
      <c r="K756" s="68"/>
      <c r="L756" s="67"/>
    </row>
    <row r="757" s="37" customFormat="1" ht="12.75" spans="1:12">
      <c r="G757" s="58"/>
      <c r="H757" s="59"/>
      <c r="I757" s="58"/>
      <c r="J757" s="67"/>
      <c r="K757" s="68"/>
      <c r="L757" s="67"/>
    </row>
    <row r="758" s="37" customFormat="1" ht="12.75" spans="1:12">
      <c r="G758" s="58"/>
      <c r="H758" s="59"/>
      <c r="I758" s="58"/>
      <c r="J758" s="67"/>
      <c r="K758" s="68"/>
      <c r="L758" s="67"/>
    </row>
    <row r="759" s="37" customFormat="1" ht="12.75" spans="1:12">
      <c r="G759" s="58"/>
      <c r="H759" s="59"/>
      <c r="I759" s="58"/>
      <c r="J759" s="67"/>
      <c r="K759" s="68"/>
      <c r="L759" s="67"/>
    </row>
    <row r="760" s="37" customFormat="1" ht="12.75" spans="1:12">
      <c r="G760" s="58"/>
      <c r="H760" s="59"/>
      <c r="I760" s="58"/>
      <c r="J760" s="67"/>
      <c r="K760" s="68"/>
      <c r="L760" s="67"/>
    </row>
    <row r="761" s="37" customFormat="1" ht="12.75" spans="1:12">
      <c r="G761" s="58"/>
      <c r="H761" s="59"/>
      <c r="I761" s="58" t="e">
        <f>ROUNDDOWN(G761/H761,0)</f>
        <v>#DIV/0!</v>
      </c>
      <c r="J761" s="67"/>
      <c r="K761" s="68"/>
      <c r="L761" s="67"/>
    </row>
    <row r="762" s="37" customFormat="1" ht="12.75" spans="1:12">
      <c r="A762" s="54"/>
      <c r="B762" s="54"/>
      <c r="C762" s="54"/>
      <c r="D762" s="54"/>
      <c r="E762" s="54"/>
      <c r="G762" s="58"/>
      <c r="H762" s="59"/>
      <c r="I762" s="58" t="e">
        <f>ROUNDDOWN(G762/H762,0)</f>
        <v>#DIV/0!</v>
      </c>
      <c r="J762" s="67"/>
      <c r="K762" s="68"/>
      <c r="L762" s="67"/>
    </row>
    <row r="763" s="37" customFormat="1" ht="12.75" spans="1:12">
      <c r="A763" s="54"/>
      <c r="B763" s="54"/>
      <c r="C763" s="54"/>
      <c r="D763" s="54"/>
      <c r="E763" s="54"/>
      <c r="G763" s="58"/>
      <c r="H763" s="59"/>
      <c r="I763" s="58"/>
      <c r="J763" s="67"/>
      <c r="K763" s="68"/>
      <c r="L763" s="67"/>
    </row>
    <row r="764" s="37" customFormat="1" ht="12.75" spans="1:12">
      <c r="A764" s="54"/>
      <c r="B764" s="54"/>
      <c r="C764" s="54"/>
      <c r="D764" s="54"/>
      <c r="E764" s="54"/>
      <c r="G764" s="58"/>
      <c r="H764" s="59"/>
      <c r="I764" s="58"/>
      <c r="J764" s="67"/>
      <c r="K764" s="68"/>
      <c r="L764" s="67"/>
    </row>
    <row r="765" s="37" customFormat="1" ht="12.75" spans="1:12">
      <c r="A765" s="54"/>
      <c r="B765" s="54"/>
      <c r="C765" s="54"/>
      <c r="D765" s="54"/>
      <c r="E765" s="54"/>
      <c r="G765" s="58"/>
      <c r="H765" s="59"/>
      <c r="I765" s="58"/>
      <c r="J765" s="67"/>
      <c r="K765" s="68"/>
      <c r="L765" s="67"/>
    </row>
    <row r="766" s="37" customFormat="1" ht="12.75" spans="1:12">
      <c r="A766" s="54"/>
      <c r="B766" s="54"/>
      <c r="C766" s="54"/>
      <c r="D766" s="54"/>
      <c r="E766" s="54"/>
      <c r="G766" s="58"/>
      <c r="H766" s="59"/>
      <c r="I766" s="58"/>
      <c r="J766" s="67"/>
      <c r="K766" s="68"/>
      <c r="L766" s="67"/>
    </row>
    <row r="767" s="37" customFormat="1" ht="12.75" spans="1:12">
      <c r="G767" s="58"/>
      <c r="H767" s="59"/>
      <c r="I767" s="58"/>
      <c r="J767" s="67"/>
      <c r="K767" s="68"/>
      <c r="L767" s="67"/>
    </row>
    <row r="768" s="37" customFormat="1" ht="12.75" spans="1:12">
      <c r="G768" s="58"/>
      <c r="H768" s="59"/>
      <c r="I768" s="58"/>
      <c r="J768" s="67"/>
      <c r="K768" s="68"/>
      <c r="L768" s="67"/>
    </row>
    <row r="769" s="37" customFormat="1" ht="12.75" spans="1:12">
      <c r="G769" s="58"/>
      <c r="H769" s="59"/>
      <c r="I769" s="58"/>
      <c r="J769" s="67"/>
      <c r="K769" s="68"/>
      <c r="L769" s="67"/>
    </row>
    <row r="770" s="37" customFormat="1" ht="12.75" spans="1:12">
      <c r="G770" s="58"/>
      <c r="H770" s="59"/>
      <c r="I770" s="58"/>
      <c r="J770" s="67"/>
      <c r="K770" s="68"/>
      <c r="L770" s="67"/>
    </row>
    <row r="771" s="37" customFormat="1" ht="12.75" spans="1:12">
      <c r="G771" s="58"/>
      <c r="H771" s="59"/>
      <c r="I771" s="58"/>
      <c r="J771" s="67"/>
      <c r="K771" s="68"/>
      <c r="L771" s="67"/>
    </row>
    <row r="772" s="37" customFormat="1" ht="12.75" spans="1:12">
      <c r="G772" s="58"/>
      <c r="H772" s="59"/>
      <c r="I772" s="58"/>
      <c r="J772" s="67"/>
      <c r="K772" s="68"/>
      <c r="L772" s="67"/>
    </row>
    <row r="773" s="37" customFormat="1" ht="12.75" spans="1:12">
      <c r="A773" s="54"/>
      <c r="B773" s="54"/>
      <c r="C773" s="54"/>
      <c r="D773" s="54"/>
      <c r="E773" s="54"/>
      <c r="G773" s="58"/>
      <c r="H773" s="59"/>
      <c r="I773" s="58"/>
      <c r="J773" s="67"/>
      <c r="K773" s="68"/>
      <c r="L773" s="67"/>
    </row>
    <row r="774" s="37" customFormat="1" ht="12.75" spans="1:12">
      <c r="A774" s="54"/>
      <c r="B774" s="54"/>
      <c r="C774" s="54"/>
      <c r="D774" s="54"/>
      <c r="E774" s="54"/>
      <c r="G774" s="58"/>
      <c r="H774" s="59"/>
      <c r="I774" s="58"/>
      <c r="J774" s="67"/>
      <c r="K774" s="68"/>
      <c r="L774" s="67"/>
    </row>
    <row r="775" s="37" customFormat="1" ht="12.75" spans="1:12">
      <c r="A775" s="54"/>
      <c r="B775" s="54"/>
      <c r="C775" s="54"/>
      <c r="D775" s="54"/>
      <c r="E775" s="54"/>
      <c r="G775" s="58"/>
      <c r="H775" s="59"/>
      <c r="I775" s="58"/>
      <c r="J775" s="67"/>
      <c r="K775" s="68"/>
      <c r="L775" s="67"/>
    </row>
    <row r="776" s="37" customFormat="1" ht="12.75" spans="1:12">
      <c r="A776" s="54"/>
      <c r="B776" s="54"/>
      <c r="C776" s="54"/>
      <c r="D776" s="54"/>
      <c r="E776" s="54"/>
      <c r="G776" s="58"/>
      <c r="H776" s="59"/>
      <c r="I776" s="58"/>
      <c r="J776" s="67"/>
      <c r="K776" s="68"/>
      <c r="L776" s="67"/>
    </row>
    <row r="777" s="37" customFormat="1" ht="12.75" spans="1:12">
      <c r="G777" s="58"/>
      <c r="H777" s="59"/>
      <c r="I777" s="58"/>
      <c r="J777" s="67"/>
      <c r="K777" s="68"/>
      <c r="L777" s="67"/>
    </row>
    <row r="778" s="37" customFormat="1" ht="12.75" spans="1:12">
      <c r="G778" s="58"/>
      <c r="H778" s="59"/>
      <c r="I778" s="58"/>
      <c r="J778" s="67"/>
      <c r="K778" s="68"/>
      <c r="L778" s="67"/>
    </row>
    <row r="779" s="37" customFormat="1" ht="12.75" spans="1:12">
      <c r="G779" s="58"/>
      <c r="H779" s="59"/>
      <c r="I779" s="58"/>
      <c r="J779" s="67"/>
      <c r="K779" s="68"/>
      <c r="L779" s="67"/>
    </row>
    <row r="780" s="37" customFormat="1" ht="12.75" spans="1:12">
      <c r="G780" s="58"/>
      <c r="H780" s="59"/>
      <c r="I780" s="58"/>
      <c r="J780" s="67"/>
      <c r="K780" s="68"/>
      <c r="L780" s="67"/>
    </row>
    <row r="781" s="37" customFormat="1" ht="12.75" spans="1:12">
      <c r="G781" s="58"/>
      <c r="H781" s="59"/>
      <c r="I781" s="58" t="e">
        <f>ROUNDDOWN(G781/H781,0)</f>
        <v>#DIV/0!</v>
      </c>
      <c r="J781" s="67"/>
      <c r="K781" s="68"/>
      <c r="L781" s="67"/>
    </row>
    <row r="782" s="37" customFormat="1" ht="12.75" spans="1:12">
      <c r="A782" s="54"/>
      <c r="B782" s="54"/>
      <c r="C782" s="54"/>
      <c r="D782" s="54"/>
      <c r="E782" s="54"/>
      <c r="G782" s="58"/>
      <c r="H782" s="59"/>
      <c r="I782" s="58" t="e">
        <f>ROUNDDOWN(G782/H782,0)</f>
        <v>#DIV/0!</v>
      </c>
      <c r="J782" s="67"/>
      <c r="K782" s="68"/>
      <c r="L782" s="67"/>
    </row>
    <row r="783" s="37" customFormat="1" ht="12.75" spans="1:12">
      <c r="A783" s="54"/>
      <c r="B783" s="54"/>
      <c r="C783" s="54"/>
      <c r="D783" s="54"/>
      <c r="E783" s="54"/>
      <c r="G783" s="58"/>
      <c r="H783" s="59"/>
      <c r="I783" s="58"/>
      <c r="J783" s="67"/>
      <c r="K783" s="68"/>
      <c r="L783" s="67"/>
    </row>
    <row r="784" s="37" customFormat="1" ht="12.75" spans="1:12">
      <c r="A784" s="54"/>
      <c r="B784" s="54"/>
      <c r="C784" s="54"/>
      <c r="D784" s="54"/>
      <c r="E784" s="54"/>
      <c r="G784" s="58"/>
      <c r="H784" s="59"/>
      <c r="I784" s="58"/>
      <c r="J784" s="67"/>
      <c r="K784" s="68"/>
      <c r="L784" s="67"/>
    </row>
    <row r="785" s="37" customFormat="1" ht="12.75" spans="1:12">
      <c r="A785" s="54"/>
      <c r="B785" s="54"/>
      <c r="C785" s="54"/>
      <c r="D785" s="54"/>
      <c r="E785" s="54"/>
      <c r="G785" s="58"/>
      <c r="H785" s="59"/>
      <c r="I785" s="58"/>
      <c r="J785" s="67"/>
      <c r="K785" s="68"/>
      <c r="L785" s="67"/>
    </row>
    <row r="786" s="37" customFormat="1" ht="12.75" spans="1:12">
      <c r="G786" s="58"/>
      <c r="H786" s="59"/>
      <c r="I786" s="58"/>
      <c r="J786" s="67"/>
      <c r="K786" s="68"/>
      <c r="L786" s="67"/>
    </row>
    <row r="787" s="37" customFormat="1" ht="12.75" spans="1:12">
      <c r="G787" s="58"/>
      <c r="H787" s="59"/>
      <c r="I787" s="58"/>
      <c r="J787" s="67"/>
      <c r="K787" s="68"/>
      <c r="L787" s="67"/>
    </row>
    <row r="788" s="37" customFormat="1" ht="12.75" spans="1:12">
      <c r="G788" s="58"/>
      <c r="H788" s="59"/>
      <c r="I788" s="58"/>
      <c r="J788" s="67"/>
      <c r="K788" s="68"/>
      <c r="L788" s="67"/>
    </row>
    <row r="789" s="37" customFormat="1" ht="12.75" spans="1:12">
      <c r="G789" s="58"/>
      <c r="H789" s="59"/>
      <c r="I789" s="58"/>
      <c r="J789" s="67"/>
      <c r="K789" s="68"/>
      <c r="L789" s="67"/>
    </row>
    <row r="790" s="37" customFormat="1" ht="12.75" spans="1:12">
      <c r="G790" s="58"/>
      <c r="H790" s="59"/>
      <c r="I790" s="58"/>
      <c r="J790" s="67"/>
      <c r="K790" s="68"/>
      <c r="L790" s="67"/>
    </row>
    <row r="791" s="37" customFormat="1" ht="12.75" spans="1:12">
      <c r="G791" s="58"/>
      <c r="H791" s="59"/>
      <c r="I791" s="58"/>
      <c r="J791" s="67"/>
      <c r="K791" s="68"/>
      <c r="L791" s="67"/>
    </row>
    <row r="792" s="37" customFormat="1" ht="12.75" spans="1:12">
      <c r="A792" s="54"/>
      <c r="B792" s="54"/>
      <c r="C792" s="54"/>
      <c r="D792" s="54"/>
      <c r="E792" s="54"/>
      <c r="G792" s="58"/>
      <c r="H792" s="59"/>
      <c r="I792" s="58"/>
      <c r="J792" s="67"/>
      <c r="K792" s="68"/>
      <c r="L792" s="67"/>
    </row>
    <row r="793" s="37" customFormat="1" ht="12.75" spans="1:12">
      <c r="A793" s="54"/>
      <c r="B793" s="54"/>
      <c r="C793" s="54"/>
      <c r="D793" s="54"/>
      <c r="E793" s="54"/>
      <c r="G793" s="58"/>
      <c r="H793" s="59"/>
      <c r="I793" s="58"/>
      <c r="J793" s="67"/>
      <c r="K793" s="68"/>
      <c r="L793" s="67"/>
    </row>
    <row r="794" s="37" customFormat="1" ht="12.75" spans="1:12">
      <c r="A794" s="54"/>
      <c r="B794" s="54"/>
      <c r="C794" s="54"/>
      <c r="D794" s="54"/>
      <c r="E794" s="54"/>
      <c r="G794" s="58"/>
      <c r="H794" s="59"/>
      <c r="I794" s="58"/>
      <c r="J794" s="67"/>
      <c r="K794" s="68"/>
      <c r="L794" s="67"/>
    </row>
    <row r="795" s="37" customFormat="1" ht="12.75" spans="1:12">
      <c r="G795" s="58"/>
      <c r="H795" s="59"/>
      <c r="I795" s="58"/>
      <c r="J795" s="67"/>
      <c r="K795" s="68"/>
      <c r="L795" s="67"/>
    </row>
    <row r="796" s="37" customFormat="1" ht="12.75" spans="1:12">
      <c r="G796" s="58"/>
      <c r="H796" s="59"/>
      <c r="I796" s="58"/>
      <c r="J796" s="67"/>
      <c r="K796" s="68"/>
      <c r="L796" s="67"/>
    </row>
    <row r="797" s="37" customFormat="1" ht="12.75" spans="1:12">
      <c r="G797" s="58"/>
      <c r="H797" s="59"/>
      <c r="I797" s="58"/>
      <c r="J797" s="67"/>
      <c r="K797" s="68"/>
      <c r="L797" s="67"/>
    </row>
    <row r="798" s="37" customFormat="1" ht="12.75" spans="1:12">
      <c r="G798" s="58"/>
      <c r="H798" s="59"/>
      <c r="I798" s="58"/>
      <c r="J798" s="67"/>
      <c r="K798" s="68"/>
      <c r="L798" s="67"/>
    </row>
    <row r="799" s="37" customFormat="1" ht="12.75" spans="1:12">
      <c r="G799" s="58"/>
      <c r="H799" s="59"/>
      <c r="I799" s="58"/>
      <c r="J799" s="67"/>
      <c r="K799" s="68"/>
      <c r="L799" s="67"/>
    </row>
    <row r="800" s="37" customFormat="1" ht="12.75" spans="1:12">
      <c r="A800" s="54"/>
      <c r="B800" s="54"/>
      <c r="C800" s="54"/>
      <c r="D800" s="54"/>
      <c r="E800" s="54"/>
      <c r="G800" s="58"/>
      <c r="H800" s="59"/>
      <c r="I800" s="58" t="e">
        <f>ROUNDDOWN(G800/H800,0)</f>
        <v>#DIV/0!</v>
      </c>
      <c r="J800" s="67"/>
      <c r="K800" s="68"/>
      <c r="L800" s="67"/>
    </row>
    <row r="801" s="37" customFormat="1" ht="12.75" spans="1:12">
      <c r="A801" s="54"/>
      <c r="B801" s="54"/>
      <c r="C801" s="54"/>
      <c r="D801" s="54"/>
      <c r="E801" s="54"/>
      <c r="G801" s="58"/>
      <c r="H801" s="59"/>
      <c r="I801" s="58" t="e">
        <f>ROUNDDOWN(G801/H801,0)</f>
        <v>#DIV/0!</v>
      </c>
      <c r="J801" s="67"/>
      <c r="K801" s="68"/>
      <c r="L801" s="67"/>
    </row>
    <row r="802" s="37" customFormat="1" ht="12.75" spans="1:12">
      <c r="A802" s="54"/>
      <c r="B802" s="54"/>
      <c r="C802" s="54"/>
      <c r="D802" s="54"/>
      <c r="E802" s="54"/>
      <c r="G802" s="58"/>
      <c r="H802" s="59"/>
      <c r="I802" s="58"/>
      <c r="J802" s="67"/>
      <c r="K802" s="68"/>
      <c r="L802" s="67"/>
    </row>
    <row r="803" s="37" customFormat="1" ht="12.75" spans="1:12">
      <c r="A803" s="54"/>
      <c r="B803" s="54"/>
      <c r="C803" s="54"/>
      <c r="D803" s="54"/>
      <c r="E803" s="54"/>
      <c r="G803" s="58"/>
      <c r="H803" s="59"/>
      <c r="I803" s="58"/>
      <c r="J803" s="67"/>
      <c r="K803" s="68"/>
      <c r="L803" s="67"/>
    </row>
    <row r="804" s="37" customFormat="1" ht="12.75" spans="1:12">
      <c r="G804" s="58"/>
      <c r="H804" s="59"/>
      <c r="I804" s="58"/>
      <c r="J804" s="67"/>
      <c r="K804" s="68"/>
      <c r="L804" s="67"/>
    </row>
    <row r="805" s="37" customFormat="1" ht="12.75" spans="1:12">
      <c r="G805" s="58"/>
      <c r="H805" s="59"/>
      <c r="I805" s="58"/>
      <c r="J805" s="67"/>
      <c r="K805" s="68"/>
      <c r="L805" s="67"/>
    </row>
    <row r="806" s="37" customFormat="1" ht="12.75" spans="1:12">
      <c r="G806" s="58"/>
      <c r="H806" s="59"/>
      <c r="I806" s="58"/>
      <c r="J806" s="67"/>
      <c r="K806" s="68"/>
      <c r="L806" s="67"/>
    </row>
    <row r="807" s="37" customFormat="1" ht="12.75" spans="1:12">
      <c r="G807" s="58"/>
      <c r="H807" s="59"/>
      <c r="I807" s="58"/>
      <c r="J807" s="67"/>
      <c r="K807" s="68"/>
      <c r="L807" s="67"/>
    </row>
    <row r="808" s="37" customFormat="1" ht="12.75" spans="1:12">
      <c r="G808" s="58"/>
      <c r="H808" s="59"/>
      <c r="I808" s="58"/>
      <c r="J808" s="67"/>
      <c r="K808" s="68"/>
      <c r="L808" s="67"/>
    </row>
    <row r="809" s="37" customFormat="1" ht="12.75" spans="1:12">
      <c r="A809" s="54"/>
      <c r="B809" s="54"/>
      <c r="C809" s="54"/>
      <c r="D809" s="54"/>
      <c r="E809" s="54"/>
      <c r="G809" s="58"/>
      <c r="H809" s="59"/>
      <c r="I809" s="58"/>
      <c r="J809" s="67"/>
      <c r="K809" s="68"/>
      <c r="L809" s="67"/>
    </row>
    <row r="810" s="37" customFormat="1" ht="12.75" spans="1:12">
      <c r="A810" s="54"/>
      <c r="B810" s="54"/>
      <c r="C810" s="54"/>
      <c r="D810" s="54"/>
      <c r="E810" s="54"/>
      <c r="G810" s="58"/>
      <c r="H810" s="59"/>
      <c r="I810" s="58"/>
      <c r="J810" s="67"/>
      <c r="K810" s="68"/>
      <c r="L810" s="67"/>
    </row>
    <row r="811" s="37" customFormat="1" ht="12.75" spans="1:12">
      <c r="A811" s="54"/>
      <c r="B811" s="54"/>
      <c r="C811" s="54"/>
      <c r="D811" s="54"/>
      <c r="E811" s="54"/>
      <c r="G811" s="58"/>
      <c r="H811" s="59"/>
      <c r="I811" s="58"/>
      <c r="J811" s="67"/>
      <c r="K811" s="68"/>
      <c r="L811" s="67"/>
    </row>
    <row r="812" s="37" customFormat="1" ht="12.75" spans="1:12">
      <c r="A812" s="54"/>
      <c r="B812" s="54"/>
      <c r="C812" s="54"/>
      <c r="D812" s="54"/>
      <c r="E812" s="54"/>
      <c r="G812" s="58"/>
      <c r="H812" s="59"/>
      <c r="I812" s="58"/>
      <c r="J812" s="67"/>
      <c r="K812" s="68"/>
      <c r="L812" s="67"/>
    </row>
    <row r="813" s="37" customFormat="1" ht="12.75" spans="1:12">
      <c r="G813" s="58"/>
      <c r="H813" s="59"/>
      <c r="I813" s="58"/>
      <c r="J813" s="67"/>
      <c r="K813" s="68"/>
      <c r="L813" s="67"/>
    </row>
    <row r="814" s="37" customFormat="1" ht="12.75" spans="1:12">
      <c r="G814" s="58"/>
      <c r="H814" s="59"/>
      <c r="I814" s="58"/>
      <c r="J814" s="67"/>
      <c r="K814" s="68"/>
      <c r="L814" s="67"/>
    </row>
    <row r="815" s="37" customFormat="1" ht="12.75" spans="1:12">
      <c r="G815" s="58"/>
      <c r="H815" s="59"/>
      <c r="I815" s="58"/>
      <c r="J815" s="67"/>
      <c r="K815" s="68"/>
      <c r="L815" s="67"/>
    </row>
    <row r="816" s="37" customFormat="1" ht="12.75" spans="1:12">
      <c r="G816" s="58"/>
      <c r="H816" s="59"/>
      <c r="I816" s="58"/>
      <c r="J816" s="67"/>
      <c r="K816" s="68"/>
      <c r="L816" s="67"/>
    </row>
    <row r="817" s="37" customFormat="1" ht="12.75" spans="1:12">
      <c r="G817" s="58"/>
      <c r="H817" s="59"/>
      <c r="I817" s="58"/>
      <c r="J817" s="67"/>
      <c r="K817" s="68"/>
      <c r="L817" s="67"/>
    </row>
    <row r="818" s="37" customFormat="1" ht="12.75" spans="1:12">
      <c r="G818" s="58"/>
      <c r="H818" s="59"/>
      <c r="I818" s="58"/>
      <c r="J818" s="67"/>
      <c r="K818" s="68"/>
      <c r="L818" s="67"/>
    </row>
    <row r="819" s="37" customFormat="1" ht="12.75" spans="1:12">
      <c r="A819" s="54"/>
      <c r="B819" s="54"/>
      <c r="C819" s="54"/>
      <c r="D819" s="54"/>
      <c r="E819" s="54"/>
      <c r="G819" s="58"/>
      <c r="H819" s="59"/>
      <c r="I819" s="58"/>
      <c r="J819" s="67"/>
      <c r="K819" s="68"/>
      <c r="L819" s="67"/>
    </row>
    <row r="820" s="37" customFormat="1" ht="12.75" spans="1:12">
      <c r="A820" s="54"/>
      <c r="B820" s="54"/>
      <c r="C820" s="54"/>
      <c r="D820" s="54"/>
      <c r="E820" s="54"/>
      <c r="G820" s="58"/>
      <c r="H820" s="59"/>
      <c r="I820" s="58" t="e">
        <f>ROUNDDOWN(G820/H820,0)</f>
        <v>#DIV/0!</v>
      </c>
      <c r="J820" s="67"/>
      <c r="K820" s="68"/>
      <c r="L820" s="67"/>
    </row>
    <row r="821" s="37" customFormat="1" ht="12.75" spans="1:12">
      <c r="A821" s="54"/>
      <c r="B821" s="54"/>
      <c r="C821" s="54"/>
      <c r="D821" s="54"/>
      <c r="E821" s="54"/>
      <c r="G821" s="58"/>
      <c r="H821" s="59"/>
      <c r="I821" s="58" t="e">
        <f>ROUNDDOWN(G821/H821,0)</f>
        <v>#DIV/0!</v>
      </c>
      <c r="J821" s="67"/>
      <c r="K821" s="68"/>
      <c r="L821" s="67"/>
    </row>
    <row r="822" s="37" customFormat="1" ht="12.75" spans="1:12">
      <c r="A822" s="54"/>
      <c r="B822" s="54"/>
      <c r="C822" s="54"/>
      <c r="D822" s="54"/>
      <c r="E822" s="54"/>
      <c r="G822" s="58"/>
      <c r="H822" s="59"/>
      <c r="I822" s="58"/>
      <c r="J822" s="67"/>
      <c r="K822" s="68"/>
      <c r="L822" s="67"/>
    </row>
    <row r="823" s="37" customFormat="1" ht="12.75" spans="1:12">
      <c r="G823" s="58"/>
      <c r="H823" s="59"/>
      <c r="I823" s="58"/>
      <c r="J823" s="67"/>
      <c r="K823" s="68"/>
      <c r="L823" s="67"/>
    </row>
    <row r="824" s="37" customFormat="1" ht="12.75" spans="1:12">
      <c r="G824" s="58"/>
      <c r="H824" s="59"/>
      <c r="I824" s="58"/>
      <c r="J824" s="67"/>
      <c r="K824" s="68"/>
      <c r="L824" s="67"/>
    </row>
    <row r="825" s="37" customFormat="1" ht="12.75" spans="1:12">
      <c r="G825" s="58"/>
      <c r="H825" s="59"/>
      <c r="I825" s="58"/>
      <c r="J825" s="67"/>
      <c r="K825" s="68"/>
      <c r="L825" s="67"/>
    </row>
    <row r="826" s="37" customFormat="1" ht="12.75" spans="1:12">
      <c r="G826" s="58"/>
      <c r="H826" s="59"/>
      <c r="I826" s="58"/>
      <c r="J826" s="67"/>
      <c r="K826" s="68"/>
      <c r="L826" s="67"/>
    </row>
    <row r="827" s="37" customFormat="1" ht="12.75" spans="1:12">
      <c r="G827" s="58"/>
      <c r="H827" s="59"/>
      <c r="I827" s="58"/>
      <c r="J827" s="67"/>
      <c r="K827" s="68"/>
      <c r="L827" s="67"/>
    </row>
    <row r="828" s="37" customFormat="1" ht="12.75" spans="1:12">
      <c r="A828" s="54"/>
      <c r="B828" s="54"/>
      <c r="C828" s="54"/>
      <c r="D828" s="54"/>
      <c r="E828" s="54"/>
      <c r="G828" s="58"/>
      <c r="H828" s="59"/>
      <c r="I828" s="58"/>
      <c r="J828" s="67"/>
      <c r="K828" s="68"/>
      <c r="L828" s="67"/>
    </row>
    <row r="829" s="37" customFormat="1" ht="12.75" spans="1:12">
      <c r="A829" s="54"/>
      <c r="B829" s="54"/>
      <c r="C829" s="54"/>
      <c r="D829" s="54"/>
      <c r="E829" s="54"/>
      <c r="G829" s="58"/>
      <c r="H829" s="59"/>
      <c r="I829" s="58"/>
      <c r="J829" s="67"/>
      <c r="K829" s="68"/>
      <c r="L829" s="67"/>
    </row>
    <row r="830" s="37" customFormat="1" ht="12.75" spans="1:12">
      <c r="A830" s="54"/>
      <c r="B830" s="54"/>
      <c r="C830" s="54"/>
      <c r="D830" s="54"/>
      <c r="E830" s="54"/>
      <c r="G830" s="58"/>
      <c r="H830" s="59"/>
      <c r="I830" s="58"/>
      <c r="J830" s="67"/>
      <c r="K830" s="68"/>
      <c r="L830" s="67"/>
    </row>
    <row r="831" s="37" customFormat="1" ht="12.75" spans="1:12">
      <c r="A831" s="54"/>
      <c r="B831" s="54"/>
      <c r="C831" s="54"/>
      <c r="D831" s="54"/>
      <c r="E831" s="54"/>
      <c r="G831" s="58"/>
      <c r="H831" s="59"/>
      <c r="I831" s="58"/>
      <c r="J831" s="67"/>
      <c r="K831" s="68"/>
      <c r="L831" s="67"/>
    </row>
    <row r="832" s="37" customFormat="1" ht="12.75" spans="1:12">
      <c r="A832" s="54"/>
      <c r="B832" s="54"/>
      <c r="C832" s="54"/>
      <c r="D832" s="54"/>
      <c r="E832" s="54"/>
      <c r="G832" s="58"/>
      <c r="H832" s="59"/>
      <c r="I832" s="58"/>
      <c r="J832" s="67"/>
      <c r="K832" s="68"/>
      <c r="L832" s="67"/>
    </row>
    <row r="833" s="37" customFormat="1" ht="12.75" spans="1:12">
      <c r="A833" s="54"/>
      <c r="B833" s="54"/>
      <c r="C833" s="54"/>
      <c r="D833" s="54"/>
      <c r="E833" s="54"/>
      <c r="G833" s="58"/>
      <c r="H833" s="59"/>
      <c r="I833" s="58"/>
      <c r="J833" s="67"/>
      <c r="K833" s="68"/>
      <c r="L833" s="67"/>
    </row>
    <row r="834" s="37" customFormat="1" ht="12.75" spans="1:12">
      <c r="G834" s="58"/>
      <c r="H834" s="59"/>
      <c r="I834" s="58"/>
      <c r="J834" s="67"/>
      <c r="K834" s="68"/>
      <c r="L834" s="67"/>
    </row>
    <row r="835" s="37" customFormat="1" ht="12.75" spans="1:12">
      <c r="G835" s="58"/>
      <c r="H835" s="59"/>
      <c r="I835" s="58"/>
      <c r="J835" s="67"/>
      <c r="K835" s="68"/>
      <c r="L835" s="67"/>
    </row>
    <row r="836" s="37" customFormat="1" ht="12.75" spans="1:12">
      <c r="G836" s="58"/>
      <c r="H836" s="59"/>
      <c r="I836" s="58"/>
      <c r="J836" s="67"/>
      <c r="K836" s="68"/>
      <c r="L836" s="67"/>
    </row>
    <row r="837" s="37" customFormat="1" ht="12.75" spans="1:12">
      <c r="G837" s="58"/>
      <c r="H837" s="59"/>
      <c r="I837" s="58" t="e">
        <f>ROUNDDOWN(G837/H837,0)</f>
        <v>#DIV/0!</v>
      </c>
      <c r="J837" s="67"/>
      <c r="K837" s="68"/>
      <c r="L837" s="67"/>
    </row>
    <row r="838" s="37" customFormat="1" ht="12.75" spans="1:12">
      <c r="G838" s="58"/>
      <c r="H838" s="59"/>
      <c r="I838" s="58" t="e">
        <f>ROUNDDOWN(G838/H838,0)</f>
        <v>#DIV/0!</v>
      </c>
      <c r="J838" s="67"/>
      <c r="K838" s="68"/>
      <c r="L838" s="67"/>
    </row>
    <row r="839" s="37" customFormat="1" ht="12.75" spans="1:12">
      <c r="G839" s="58"/>
      <c r="H839" s="59"/>
      <c r="I839" s="58"/>
      <c r="J839" s="67"/>
      <c r="K839" s="68"/>
      <c r="L839" s="67"/>
    </row>
    <row r="840" s="37" customFormat="1" ht="12.75" spans="1:12">
      <c r="A840" s="54"/>
      <c r="B840" s="54"/>
      <c r="C840" s="54"/>
      <c r="D840" s="54"/>
      <c r="E840" s="54"/>
      <c r="G840" s="58"/>
      <c r="H840" s="59"/>
      <c r="I840" s="58"/>
      <c r="J840" s="67"/>
      <c r="K840" s="68"/>
      <c r="L840" s="67"/>
    </row>
    <row r="841" s="37" customFormat="1" ht="12.75" spans="1:12">
      <c r="A841" s="54"/>
      <c r="B841" s="54"/>
      <c r="C841" s="54"/>
      <c r="D841" s="54"/>
      <c r="E841" s="54"/>
      <c r="G841" s="58"/>
      <c r="H841" s="59"/>
      <c r="I841" s="58"/>
      <c r="J841" s="67"/>
      <c r="K841" s="68"/>
      <c r="L841" s="67"/>
    </row>
    <row r="842" s="37" customFormat="1" ht="12.75" spans="1:12">
      <c r="A842" s="54"/>
      <c r="B842" s="54"/>
      <c r="C842" s="54"/>
      <c r="D842" s="54"/>
      <c r="E842" s="54"/>
      <c r="G842" s="58"/>
      <c r="H842" s="59"/>
      <c r="I842" s="58"/>
      <c r="J842" s="67"/>
      <c r="K842" s="68"/>
      <c r="L842" s="67"/>
    </row>
    <row r="843" s="37" customFormat="1" ht="12.75" spans="1:12">
      <c r="G843" s="58"/>
      <c r="H843" s="59"/>
      <c r="I843" s="58"/>
      <c r="J843" s="67"/>
      <c r="K843" s="68"/>
      <c r="L843" s="67"/>
    </row>
    <row r="844" s="37" customFormat="1" ht="12.75" spans="1:12">
      <c r="G844" s="58"/>
      <c r="H844" s="59"/>
      <c r="I844" s="58"/>
      <c r="J844" s="67"/>
      <c r="K844" s="68"/>
      <c r="L844" s="67"/>
    </row>
    <row r="845" s="37" customFormat="1" ht="12.75" spans="1:12">
      <c r="G845" s="58"/>
      <c r="H845" s="59"/>
      <c r="I845" s="58"/>
      <c r="J845" s="67"/>
      <c r="K845" s="68"/>
      <c r="L845" s="67"/>
    </row>
    <row r="846" s="37" customFormat="1" ht="12.75" spans="1:12">
      <c r="G846" s="58"/>
      <c r="H846" s="59"/>
      <c r="I846" s="58"/>
      <c r="J846" s="67"/>
      <c r="K846" s="68"/>
      <c r="L846" s="67"/>
    </row>
    <row r="847" s="37" customFormat="1" ht="12.75" spans="1:12">
      <c r="G847" s="58"/>
      <c r="H847" s="59"/>
      <c r="I847" s="58"/>
      <c r="J847" s="67"/>
      <c r="K847" s="68"/>
      <c r="L847" s="67"/>
    </row>
    <row r="848" s="37" customFormat="1" ht="12.75" spans="1:12">
      <c r="A848" s="54"/>
      <c r="B848" s="54"/>
      <c r="C848" s="54"/>
      <c r="D848" s="54"/>
      <c r="E848" s="54"/>
      <c r="G848" s="58"/>
      <c r="H848" s="59"/>
      <c r="I848" s="58"/>
      <c r="J848" s="67"/>
      <c r="K848" s="68"/>
      <c r="L848" s="67"/>
    </row>
    <row r="849" s="37" customFormat="1" ht="12.75" spans="1:13">
      <c r="A849" s="54"/>
      <c r="B849" s="54"/>
      <c r="C849" s="54"/>
      <c r="D849" s="54"/>
      <c r="E849" s="54"/>
      <c r="G849" s="58"/>
      <c r="H849" s="59"/>
      <c r="I849" s="58"/>
      <c r="J849" s="67"/>
      <c r="K849" s="68"/>
      <c r="L849" s="67"/>
    </row>
    <row r="850" s="37" customFormat="1" ht="12.75" spans="1:13">
      <c r="A850" s="54"/>
      <c r="B850" s="54"/>
      <c r="C850" s="54"/>
      <c r="D850" s="54"/>
      <c r="E850" s="54"/>
      <c r="G850" s="58"/>
      <c r="H850" s="59"/>
      <c r="I850" s="58"/>
      <c r="J850" s="67"/>
      <c r="K850" s="68"/>
      <c r="L850" s="67"/>
    </row>
    <row r="851" s="37" customFormat="1" ht="12.75" spans="1:13">
      <c r="A851" s="54"/>
      <c r="B851" s="54"/>
      <c r="C851" s="54"/>
      <c r="D851" s="54"/>
      <c r="E851" s="54"/>
      <c r="G851" s="58"/>
      <c r="H851" s="59"/>
      <c r="I851" s="58"/>
      <c r="J851" s="67"/>
      <c r="K851" s="68"/>
      <c r="L851" s="67"/>
    </row>
    <row r="852" s="37" customFormat="1" ht="12.75" spans="1:13">
      <c r="G852" s="58"/>
      <c r="H852" s="59"/>
      <c r="I852" s="58"/>
      <c r="J852" s="67"/>
      <c r="K852" s="68"/>
      <c r="L852" s="67"/>
    </row>
    <row r="853" s="37" customFormat="1" ht="12.75" spans="1:13">
      <c r="G853" s="58"/>
      <c r="H853" s="59"/>
      <c r="I853" s="58" t="e">
        <f>ROUNDDOWN(G853/H853,0)</f>
        <v>#DIV/0!</v>
      </c>
      <c r="J853" s="67"/>
      <c r="K853" s="68"/>
      <c r="L853" s="67"/>
    </row>
    <row r="854" s="37" customFormat="1" ht="12.75" spans="1:13">
      <c r="G854" s="58"/>
      <c r="H854" s="59"/>
      <c r="I854" s="58"/>
      <c r="J854" s="67"/>
      <c r="K854" s="68"/>
      <c r="L854" s="67"/>
    </row>
    <row r="855" s="37" customFormat="1" ht="12.75" spans="1:13">
      <c r="G855" s="58"/>
      <c r="H855" s="59"/>
      <c r="I855" s="58"/>
      <c r="J855" s="67"/>
      <c r="K855" s="68"/>
      <c r="L855" s="67"/>
      <c r="M855" s="72"/>
    </row>
    <row r="856" s="37" customFormat="1" ht="12.75" spans="1:13">
      <c r="G856" s="58"/>
      <c r="H856" s="59"/>
      <c r="I856" s="58"/>
      <c r="J856" s="67"/>
      <c r="K856" s="68"/>
      <c r="L856" s="67"/>
    </row>
    <row r="857" s="37" customFormat="1" ht="12.75" spans="1:13">
      <c r="G857" s="58"/>
      <c r="H857" s="59"/>
      <c r="I857" s="58"/>
      <c r="J857" s="67"/>
      <c r="K857" s="68"/>
      <c r="L857" s="67"/>
    </row>
    <row r="858" s="37" customFormat="1" ht="12.75" spans="1:13">
      <c r="A858" s="54"/>
      <c r="B858" s="54"/>
      <c r="C858" s="54"/>
      <c r="D858" s="54"/>
      <c r="E858" s="54"/>
      <c r="G858" s="58"/>
      <c r="H858" s="59"/>
      <c r="I858" s="58"/>
      <c r="J858" s="67"/>
      <c r="K858" s="68"/>
      <c r="L858" s="67"/>
    </row>
    <row r="859" s="37" customFormat="1" ht="12.75" spans="1:13">
      <c r="A859" s="54"/>
      <c r="B859" s="54"/>
      <c r="C859" s="54"/>
      <c r="D859" s="54"/>
      <c r="E859" s="54"/>
      <c r="G859" s="58"/>
      <c r="H859" s="59"/>
      <c r="I859" s="58"/>
      <c r="J859" s="67"/>
      <c r="K859" s="68"/>
      <c r="L859" s="67"/>
    </row>
    <row r="860" s="37" customFormat="1" ht="12.75" spans="1:13">
      <c r="A860" s="54"/>
      <c r="B860" s="54"/>
      <c r="C860" s="54"/>
      <c r="D860" s="54"/>
      <c r="E860" s="54"/>
      <c r="G860" s="58"/>
      <c r="H860" s="59"/>
      <c r="I860" s="58"/>
      <c r="J860" s="67"/>
      <c r="K860" s="68"/>
      <c r="L860" s="67"/>
    </row>
    <row r="861" s="37" customFormat="1" ht="12.75" spans="1:13">
      <c r="A861" s="54"/>
      <c r="B861" s="54"/>
      <c r="C861" s="54"/>
      <c r="D861" s="54"/>
      <c r="E861" s="54"/>
      <c r="G861" s="58"/>
      <c r="H861" s="59"/>
      <c r="I861" s="58"/>
      <c r="J861" s="67"/>
      <c r="K861" s="68"/>
      <c r="L861" s="67"/>
    </row>
    <row r="862" s="37" customFormat="1" ht="12.75" spans="1:13">
      <c r="G862" s="58"/>
      <c r="H862" s="59"/>
      <c r="I862" s="58"/>
      <c r="J862" s="67"/>
      <c r="K862" s="68"/>
      <c r="L862" s="67"/>
    </row>
    <row r="863" s="37" customFormat="1" ht="12.75" spans="1:13">
      <c r="G863" s="58"/>
      <c r="H863" s="59"/>
      <c r="I863" s="58" t="e">
        <f>ROUNDDOWN(G863/H863,0)</f>
        <v>#DIV/0!</v>
      </c>
      <c r="J863" s="67"/>
      <c r="K863" s="68"/>
      <c r="L863" s="67"/>
    </row>
    <row r="864" s="37" customFormat="1" ht="12.75" spans="1:13">
      <c r="G864" s="58"/>
      <c r="H864" s="59"/>
      <c r="I864" s="58"/>
      <c r="J864" s="67"/>
      <c r="K864" s="68"/>
      <c r="L864" s="67"/>
    </row>
    <row r="865" s="37" customFormat="1" ht="12.75" spans="1:12">
      <c r="G865" s="58"/>
      <c r="H865" s="59"/>
      <c r="I865" s="58"/>
      <c r="J865" s="67"/>
      <c r="K865" s="68"/>
      <c r="L865" s="67"/>
    </row>
    <row r="866" s="37" customFormat="1" ht="12.75" spans="1:12">
      <c r="G866" s="58"/>
      <c r="H866" s="59"/>
      <c r="I866" s="58"/>
      <c r="J866" s="67"/>
      <c r="K866" s="68"/>
      <c r="L866" s="67"/>
    </row>
    <row r="867" s="37" customFormat="1" ht="12.75" spans="1:12">
      <c r="A867" s="54"/>
      <c r="B867" s="54"/>
      <c r="C867" s="54"/>
      <c r="D867" s="54"/>
      <c r="E867" s="54"/>
      <c r="G867" s="58"/>
      <c r="H867" s="59"/>
      <c r="I867" s="58"/>
      <c r="J867" s="67"/>
      <c r="K867" s="68"/>
      <c r="L867" s="67"/>
    </row>
    <row r="868" s="37" customFormat="1" ht="12.75" spans="1:12">
      <c r="A868" s="54"/>
      <c r="B868" s="54"/>
      <c r="C868" s="54"/>
      <c r="D868" s="54"/>
      <c r="E868" s="54"/>
      <c r="G868" s="58"/>
      <c r="H868" s="59"/>
      <c r="I868" s="58"/>
      <c r="J868" s="67"/>
      <c r="K868" s="68"/>
      <c r="L868" s="67"/>
    </row>
    <row r="869" s="37" customFormat="1" ht="12.75" spans="1:12">
      <c r="A869" s="54"/>
      <c r="B869" s="54"/>
      <c r="C869" s="54"/>
      <c r="D869" s="54"/>
      <c r="E869" s="54"/>
      <c r="G869" s="58"/>
      <c r="H869" s="59"/>
      <c r="I869" s="58"/>
      <c r="J869" s="67"/>
      <c r="K869" s="68"/>
      <c r="L869" s="67"/>
    </row>
    <row r="870" s="37" customFormat="1" ht="12.75" spans="1:12">
      <c r="A870" s="54"/>
      <c r="B870" s="54"/>
      <c r="C870" s="54"/>
      <c r="D870" s="54"/>
      <c r="E870" s="54"/>
      <c r="G870" s="58"/>
      <c r="H870" s="59"/>
      <c r="I870" s="58"/>
      <c r="J870" s="67"/>
      <c r="K870" s="68"/>
      <c r="L870" s="67"/>
    </row>
    <row r="871" s="37" customFormat="1" ht="12.75" spans="1:12">
      <c r="G871" s="58"/>
      <c r="H871" s="59"/>
      <c r="I871" s="58"/>
      <c r="J871" s="67"/>
      <c r="K871" s="68"/>
      <c r="L871" s="67"/>
    </row>
    <row r="872" s="37" customFormat="1" ht="12.75" spans="1:12">
      <c r="G872" s="58"/>
      <c r="H872" s="59"/>
      <c r="I872" s="58"/>
      <c r="J872" s="67"/>
      <c r="K872" s="68"/>
      <c r="L872" s="67"/>
    </row>
    <row r="873" s="37" customFormat="1" ht="12.75" spans="1:12">
      <c r="G873" s="58"/>
      <c r="H873" s="59"/>
      <c r="I873" s="58"/>
      <c r="J873" s="67"/>
      <c r="K873" s="68"/>
      <c r="L873" s="67"/>
    </row>
    <row r="874" s="37" customFormat="1" ht="12.75" spans="1:12">
      <c r="G874" s="58"/>
      <c r="H874" s="59"/>
      <c r="I874" s="58" t="e">
        <f>ROUNDDOWN(G874/H874,0)</f>
        <v>#DIV/0!</v>
      </c>
      <c r="J874" s="67"/>
      <c r="K874" s="68"/>
      <c r="L874" s="67"/>
    </row>
    <row r="875" s="37" customFormat="1" ht="12.75" spans="1:12">
      <c r="G875" s="58"/>
      <c r="H875" s="59"/>
      <c r="I875" s="58" t="e">
        <f>ROUNDDOWN(G875/H875,0)</f>
        <v>#DIV/0!</v>
      </c>
      <c r="J875" s="67"/>
      <c r="K875" s="68"/>
      <c r="L875" s="67"/>
    </row>
    <row r="876" s="37" customFormat="1" ht="12.75" spans="1:12">
      <c r="G876" s="58"/>
      <c r="H876" s="59"/>
      <c r="I876" s="58"/>
      <c r="J876" s="67"/>
      <c r="K876" s="68"/>
      <c r="L876" s="67"/>
    </row>
    <row r="877" s="37" customFormat="1" ht="12.75" spans="1:12">
      <c r="A877" s="54"/>
      <c r="B877" s="54"/>
      <c r="C877" s="54"/>
      <c r="D877" s="54"/>
      <c r="E877" s="54"/>
      <c r="G877" s="58"/>
      <c r="H877" s="59"/>
      <c r="I877" s="58"/>
      <c r="J877" s="67"/>
      <c r="K877" s="68"/>
      <c r="L877" s="67"/>
    </row>
    <row r="878" s="37" customFormat="1" ht="12.75" spans="1:12">
      <c r="A878" s="54"/>
      <c r="B878" s="54"/>
      <c r="C878" s="54"/>
      <c r="D878" s="54"/>
      <c r="E878" s="54"/>
      <c r="G878" s="58"/>
      <c r="H878" s="59"/>
      <c r="I878" s="58"/>
      <c r="J878" s="67"/>
      <c r="K878" s="68"/>
      <c r="L878" s="67"/>
    </row>
    <row r="879" s="37" customFormat="1" ht="12.75" spans="1:12">
      <c r="A879" s="54"/>
      <c r="B879" s="54"/>
      <c r="C879" s="54"/>
      <c r="D879" s="54"/>
      <c r="E879" s="54"/>
      <c r="G879" s="58"/>
      <c r="H879" s="59"/>
      <c r="I879" s="58"/>
      <c r="J879" s="67"/>
      <c r="K879" s="68"/>
      <c r="L879" s="67"/>
    </row>
    <row r="880" s="37" customFormat="1" ht="12.75" spans="1:12">
      <c r="G880" s="58"/>
      <c r="H880" s="59"/>
      <c r="I880" s="58"/>
      <c r="J880" s="67"/>
      <c r="K880" s="68"/>
      <c r="L880" s="67"/>
    </row>
    <row r="881" s="37" customFormat="1" ht="12.75" spans="1:12">
      <c r="G881" s="58"/>
      <c r="H881" s="59"/>
      <c r="I881" s="58"/>
      <c r="J881" s="67"/>
      <c r="K881" s="68"/>
      <c r="L881" s="67"/>
    </row>
    <row r="882" s="37" customFormat="1" ht="12.75" spans="1:12">
      <c r="G882" s="58"/>
      <c r="H882" s="59"/>
      <c r="I882" s="58"/>
      <c r="J882" s="67"/>
      <c r="K882" s="68"/>
      <c r="L882" s="67"/>
    </row>
    <row r="883" s="37" customFormat="1" ht="12.75" spans="1:12">
      <c r="G883" s="58"/>
      <c r="H883" s="59"/>
      <c r="I883" s="58"/>
      <c r="J883" s="67"/>
      <c r="K883" s="68"/>
      <c r="L883" s="67"/>
    </row>
    <row r="884" s="37" customFormat="1" ht="12.75" spans="1:12">
      <c r="G884" s="58"/>
      <c r="H884" s="59"/>
      <c r="I884" s="58"/>
      <c r="J884" s="67"/>
      <c r="K884" s="68"/>
      <c r="L884" s="67"/>
    </row>
    <row r="885" s="37" customFormat="1" ht="12.75" spans="1:12">
      <c r="A885" s="54"/>
      <c r="B885" s="54"/>
      <c r="C885" s="54"/>
      <c r="D885" s="54"/>
      <c r="E885" s="54"/>
      <c r="G885" s="58"/>
      <c r="H885" s="59"/>
      <c r="I885" s="58"/>
      <c r="J885" s="67"/>
      <c r="K885" s="68"/>
      <c r="L885" s="67"/>
    </row>
    <row r="886" s="37" customFormat="1" ht="12.75" spans="1:12">
      <c r="A886" s="54"/>
      <c r="B886" s="54"/>
      <c r="C886" s="54"/>
      <c r="D886" s="54"/>
      <c r="E886" s="54"/>
      <c r="G886" s="58"/>
      <c r="H886" s="59"/>
      <c r="I886" s="58"/>
      <c r="J886" s="67"/>
      <c r="K886" s="68"/>
      <c r="L886" s="67"/>
    </row>
    <row r="887" s="37" customFormat="1" ht="12.75" spans="1:12">
      <c r="A887" s="54"/>
      <c r="B887" s="54"/>
      <c r="C887" s="54"/>
      <c r="D887" s="54"/>
      <c r="E887" s="54"/>
      <c r="G887" s="58"/>
      <c r="H887" s="59"/>
      <c r="I887" s="58"/>
      <c r="J887" s="67"/>
      <c r="K887" s="68"/>
      <c r="L887" s="67"/>
    </row>
    <row r="888" s="37" customFormat="1" ht="12.75" spans="1:12">
      <c r="A888" s="54"/>
      <c r="B888" s="54"/>
      <c r="C888" s="54"/>
      <c r="D888" s="54"/>
      <c r="E888" s="54"/>
      <c r="G888" s="58"/>
      <c r="H888" s="59"/>
      <c r="I888" s="58"/>
      <c r="J888" s="67"/>
      <c r="K888" s="68"/>
      <c r="L888" s="67"/>
    </row>
    <row r="889" s="37" customFormat="1" ht="12.75" spans="1:12">
      <c r="G889" s="58"/>
      <c r="H889" s="59"/>
      <c r="I889" s="58"/>
      <c r="J889" s="67"/>
      <c r="K889" s="68"/>
      <c r="L889" s="67"/>
    </row>
    <row r="890" s="37" customFormat="1" ht="12.75" spans="1:12">
      <c r="G890" s="58"/>
      <c r="H890" s="59"/>
      <c r="I890" s="58"/>
      <c r="J890" s="67"/>
      <c r="K890" s="68"/>
      <c r="L890" s="67"/>
    </row>
    <row r="891" s="37" customFormat="1" ht="12.75" spans="1:12">
      <c r="G891" s="58"/>
      <c r="H891" s="59"/>
      <c r="I891" s="58"/>
      <c r="J891" s="67"/>
      <c r="K891" s="68"/>
      <c r="L891" s="67"/>
    </row>
    <row r="892" s="37" customFormat="1" ht="12.75" spans="1:12">
      <c r="G892" s="58"/>
      <c r="H892" s="59"/>
      <c r="I892" s="58"/>
      <c r="J892" s="67"/>
      <c r="K892" s="68"/>
      <c r="L892" s="67"/>
    </row>
    <row r="893" s="37" customFormat="1" ht="12.75" spans="1:12">
      <c r="G893" s="58"/>
      <c r="H893" s="59"/>
      <c r="I893" s="58"/>
      <c r="J893" s="67"/>
      <c r="K893" s="68"/>
      <c r="L893" s="67"/>
    </row>
    <row r="894" s="37" customFormat="1" ht="12.75" spans="1:12">
      <c r="G894" s="58"/>
      <c r="H894" s="59"/>
      <c r="I894" s="58"/>
      <c r="J894" s="67"/>
      <c r="K894" s="68"/>
      <c r="L894" s="67"/>
    </row>
    <row r="895" s="37" customFormat="1" ht="12.75" spans="1:12">
      <c r="A895" s="54"/>
      <c r="B895" s="54"/>
      <c r="C895" s="54"/>
      <c r="D895" s="54"/>
      <c r="E895" s="54"/>
      <c r="G895" s="58"/>
      <c r="H895" s="59"/>
      <c r="I895" s="58"/>
      <c r="J895" s="67"/>
      <c r="K895" s="68"/>
      <c r="L895" s="67"/>
    </row>
    <row r="896" s="37" customFormat="1" ht="12.75" spans="1:12">
      <c r="A896" s="54"/>
      <c r="B896" s="54"/>
      <c r="C896" s="54"/>
      <c r="D896" s="54"/>
      <c r="E896" s="54"/>
      <c r="G896" s="58"/>
      <c r="H896" s="59"/>
      <c r="I896" s="58"/>
      <c r="J896" s="67"/>
      <c r="K896" s="68"/>
      <c r="L896" s="67"/>
    </row>
    <row r="897" s="37" customFormat="1" ht="12.75" spans="1:12">
      <c r="G897" s="58"/>
      <c r="H897" s="59"/>
      <c r="I897" s="58"/>
      <c r="J897" s="67"/>
      <c r="K897" s="68"/>
      <c r="L897" s="67"/>
    </row>
    <row r="898" s="37" customFormat="1" ht="12.75" spans="1:12">
      <c r="G898" s="58"/>
      <c r="H898" s="59"/>
      <c r="I898" s="58" t="e">
        <f>ROUNDDOWN(G898/H898,0)</f>
        <v>#DIV/0!</v>
      </c>
      <c r="J898" s="67"/>
      <c r="K898" s="68"/>
      <c r="L898" s="67"/>
    </row>
    <row r="899" s="37" customFormat="1" ht="12.75" spans="1:12">
      <c r="G899" s="58"/>
      <c r="H899" s="59"/>
      <c r="I899" s="58" t="e">
        <f>ROUNDDOWN(G899/H899,0)</f>
        <v>#DIV/0!</v>
      </c>
      <c r="J899" s="67"/>
      <c r="K899" s="68"/>
      <c r="L899" s="67"/>
    </row>
    <row r="900" s="37" customFormat="1" ht="12.75" spans="1:12">
      <c r="G900" s="58"/>
      <c r="H900" s="59"/>
      <c r="I900" s="58"/>
      <c r="J900" s="67"/>
      <c r="K900" s="68"/>
      <c r="L900" s="67"/>
    </row>
    <row r="901" s="37" customFormat="1" ht="12.75" spans="1:12">
      <c r="G901" s="58"/>
      <c r="H901" s="59"/>
      <c r="I901" s="58"/>
      <c r="J901" s="67"/>
      <c r="K901" s="68"/>
      <c r="L901" s="67"/>
    </row>
    <row r="902" s="37" customFormat="1" ht="12.75" spans="1:12">
      <c r="A902" s="54"/>
      <c r="B902" s="54"/>
      <c r="C902" s="54"/>
      <c r="D902" s="54"/>
      <c r="E902" s="54"/>
      <c r="G902" s="58"/>
      <c r="H902" s="59"/>
      <c r="I902" s="58"/>
      <c r="J902" s="67"/>
      <c r="K902" s="68"/>
      <c r="L902" s="67"/>
    </row>
    <row r="903" s="37" customFormat="1" ht="12.75" spans="1:12">
      <c r="A903" s="54"/>
      <c r="B903" s="54"/>
      <c r="C903" s="54"/>
      <c r="D903" s="54"/>
      <c r="E903" s="54"/>
      <c r="G903" s="58"/>
      <c r="H903" s="59"/>
      <c r="I903" s="58"/>
      <c r="J903" s="67"/>
      <c r="K903" s="68"/>
      <c r="L903" s="67"/>
    </row>
    <row r="904" s="37" customFormat="1" ht="12.75" spans="1:12">
      <c r="A904" s="54"/>
      <c r="B904" s="54"/>
      <c r="C904" s="54"/>
      <c r="D904" s="54"/>
      <c r="E904" s="54"/>
      <c r="G904" s="58"/>
      <c r="H904" s="59"/>
      <c r="I904" s="58"/>
      <c r="J904" s="67"/>
      <c r="K904" s="68"/>
      <c r="L904" s="67"/>
    </row>
    <row r="905" s="37" customFormat="1" ht="12.75" spans="1:12">
      <c r="G905" s="58"/>
      <c r="H905" s="59"/>
      <c r="I905" s="58"/>
      <c r="J905" s="67"/>
      <c r="K905" s="68"/>
      <c r="L905" s="67"/>
    </row>
    <row r="906" s="37" customFormat="1" ht="12.75" spans="1:12">
      <c r="G906" s="58"/>
      <c r="H906" s="59"/>
      <c r="I906" s="58"/>
      <c r="J906" s="67"/>
      <c r="K906" s="68"/>
      <c r="L906" s="67"/>
    </row>
    <row r="907" s="37" customFormat="1" ht="12.75" spans="1:12">
      <c r="G907" s="58"/>
      <c r="H907" s="59"/>
      <c r="I907" s="58"/>
      <c r="J907" s="67"/>
      <c r="K907" s="68"/>
      <c r="L907" s="67"/>
    </row>
    <row r="908" s="37" customFormat="1" ht="12.75" spans="1:12">
      <c r="G908" s="58"/>
      <c r="H908" s="59"/>
      <c r="I908" s="58"/>
      <c r="J908" s="67"/>
      <c r="K908" s="68"/>
      <c r="L908" s="67"/>
    </row>
    <row r="909" s="37" customFormat="1" ht="12.75" spans="1:12">
      <c r="G909" s="58"/>
      <c r="H909" s="59"/>
      <c r="I909" s="58"/>
      <c r="J909" s="67"/>
      <c r="K909" s="68"/>
      <c r="L909" s="67"/>
    </row>
    <row r="910" s="37" customFormat="1" ht="12.75" spans="1:12">
      <c r="G910" s="58"/>
      <c r="H910" s="59"/>
      <c r="I910" s="58"/>
      <c r="J910" s="67"/>
      <c r="K910" s="68"/>
      <c r="L910" s="67"/>
    </row>
    <row r="911" s="37" customFormat="1" ht="12.75" spans="1:12">
      <c r="A911" s="54"/>
      <c r="B911" s="54"/>
      <c r="C911" s="54"/>
      <c r="D911" s="54"/>
      <c r="E911" s="54"/>
      <c r="G911" s="58"/>
      <c r="H911" s="59"/>
      <c r="I911" s="58"/>
      <c r="J911" s="67"/>
      <c r="K911" s="68"/>
      <c r="L911" s="67"/>
    </row>
    <row r="912" s="37" customFormat="1" ht="12.75" spans="1:12">
      <c r="A912" s="54"/>
      <c r="B912" s="54"/>
      <c r="C912" s="54"/>
      <c r="D912" s="54"/>
      <c r="E912" s="54"/>
      <c r="G912" s="58"/>
      <c r="H912" s="59"/>
      <c r="I912" s="58"/>
      <c r="J912" s="67"/>
      <c r="K912" s="68"/>
      <c r="L912" s="67"/>
    </row>
    <row r="913" s="37" customFormat="1" ht="12.75" spans="1:12">
      <c r="A913" s="54"/>
      <c r="B913" s="54"/>
      <c r="C913" s="54"/>
      <c r="D913" s="54"/>
      <c r="E913" s="54"/>
      <c r="G913" s="58"/>
      <c r="H913" s="59"/>
      <c r="I913" s="58"/>
      <c r="J913" s="67"/>
      <c r="K913" s="68"/>
      <c r="L913" s="67"/>
    </row>
    <row r="914" s="37" customFormat="1" ht="12.75" spans="1:12">
      <c r="A914" s="54"/>
      <c r="B914" s="54"/>
      <c r="C914" s="54"/>
      <c r="D914" s="54"/>
      <c r="E914" s="54"/>
      <c r="G914" s="58"/>
      <c r="H914" s="59"/>
      <c r="I914" s="58"/>
      <c r="J914" s="67"/>
      <c r="K914" s="68"/>
      <c r="L914" s="67"/>
    </row>
    <row r="915" s="37" customFormat="1" ht="12.75" spans="1:12">
      <c r="G915" s="58"/>
      <c r="H915" s="59"/>
      <c r="I915" s="58"/>
      <c r="J915" s="67"/>
      <c r="K915" s="68"/>
      <c r="L915" s="67"/>
    </row>
    <row r="916" s="37" customFormat="1" ht="12.75" spans="1:12">
      <c r="G916" s="58"/>
      <c r="H916" s="59"/>
      <c r="I916" s="58"/>
      <c r="J916" s="67"/>
      <c r="K916" s="68"/>
      <c r="L916" s="67"/>
    </row>
    <row r="917" s="37" customFormat="1" ht="12.75" spans="1:12">
      <c r="G917" s="58"/>
      <c r="H917" s="59"/>
      <c r="I917" s="58"/>
      <c r="J917" s="67"/>
      <c r="K917" s="68"/>
      <c r="L917" s="67"/>
    </row>
    <row r="918" s="37" customFormat="1" ht="12.75" spans="1:12">
      <c r="G918" s="58"/>
      <c r="H918" s="59"/>
      <c r="I918" s="58"/>
      <c r="J918" s="67"/>
      <c r="K918" s="68"/>
      <c r="L918" s="67"/>
    </row>
    <row r="919" s="37" customFormat="1" ht="12.75" spans="1:12">
      <c r="G919" s="58"/>
      <c r="H919" s="59"/>
      <c r="I919" s="58"/>
      <c r="J919" s="67"/>
      <c r="K919" s="68"/>
      <c r="L919" s="67"/>
    </row>
    <row r="920" s="37" customFormat="1" ht="12.75" spans="1:12">
      <c r="A920" s="54"/>
      <c r="B920" s="54"/>
      <c r="C920" s="54"/>
      <c r="D920" s="54"/>
      <c r="E920" s="54"/>
      <c r="G920" s="58"/>
      <c r="H920" s="59"/>
      <c r="I920" s="58"/>
      <c r="J920" s="67"/>
      <c r="K920" s="68"/>
      <c r="L920" s="67"/>
    </row>
    <row r="921" s="37" customFormat="1" ht="12.75" spans="1:12">
      <c r="A921" s="54"/>
      <c r="B921" s="54"/>
      <c r="C921" s="54"/>
      <c r="D921" s="54"/>
      <c r="E921" s="54"/>
      <c r="G921" s="58"/>
      <c r="H921" s="59"/>
      <c r="I921" s="58"/>
      <c r="J921" s="67"/>
      <c r="K921" s="68"/>
      <c r="L921" s="67"/>
    </row>
    <row r="922" s="37" customFormat="1" ht="12.75" spans="1:12">
      <c r="A922" s="54"/>
      <c r="B922" s="54"/>
      <c r="C922" s="54"/>
      <c r="D922" s="54"/>
      <c r="E922" s="54"/>
      <c r="G922" s="58"/>
      <c r="H922" s="59"/>
      <c r="I922" s="58"/>
      <c r="J922" s="67"/>
      <c r="K922" s="68"/>
      <c r="L922" s="67"/>
    </row>
    <row r="923" s="37" customFormat="1" ht="12.75" spans="1:12">
      <c r="G923" s="58"/>
      <c r="H923" s="59"/>
      <c r="I923" s="58" t="e">
        <f>ROUNDDOWN(G923/H923,0)</f>
        <v>#DIV/0!</v>
      </c>
      <c r="J923" s="67"/>
      <c r="K923" s="68"/>
      <c r="L923" s="67"/>
    </row>
    <row r="924" s="37" customFormat="1" ht="12.75" spans="1:12">
      <c r="G924" s="58"/>
      <c r="H924" s="59"/>
      <c r="I924" s="58" t="e">
        <f>ROUNDDOWN(G924/H924,0)</f>
        <v>#DIV/0!</v>
      </c>
      <c r="J924" s="67"/>
      <c r="K924" s="68"/>
      <c r="L924" s="67"/>
    </row>
    <row r="925" s="37" customFormat="1" ht="12.75" spans="1:12">
      <c r="G925" s="58"/>
      <c r="H925" s="59"/>
      <c r="I925" s="58"/>
      <c r="J925" s="67"/>
      <c r="K925" s="68"/>
      <c r="L925" s="67"/>
    </row>
    <row r="926" s="37" customFormat="1" ht="12.75" spans="1:12">
      <c r="G926" s="58"/>
      <c r="H926" s="59"/>
      <c r="I926" s="58"/>
      <c r="J926" s="67"/>
      <c r="K926" s="68"/>
      <c r="L926" s="67"/>
    </row>
    <row r="927" s="37" customFormat="1" ht="12.75" spans="1:12">
      <c r="G927" s="58"/>
      <c r="H927" s="59"/>
      <c r="I927" s="58"/>
      <c r="J927" s="67"/>
      <c r="K927" s="68"/>
      <c r="L927" s="67"/>
    </row>
    <row r="928" s="37" customFormat="1" ht="12.75" spans="1:12">
      <c r="A928" s="54"/>
      <c r="B928" s="54"/>
      <c r="C928" s="54"/>
      <c r="D928" s="54"/>
      <c r="E928" s="54"/>
      <c r="G928" s="58"/>
      <c r="H928" s="59"/>
      <c r="I928" s="58"/>
      <c r="J928" s="67"/>
      <c r="K928" s="68"/>
      <c r="L928" s="67"/>
    </row>
    <row r="929" s="37" customFormat="1" ht="12.75" spans="1:12">
      <c r="A929" s="54"/>
      <c r="B929" s="54"/>
      <c r="C929" s="54"/>
      <c r="D929" s="54"/>
      <c r="E929" s="54"/>
      <c r="G929" s="58"/>
      <c r="H929" s="59"/>
      <c r="I929" s="58"/>
      <c r="J929" s="67"/>
      <c r="K929" s="68"/>
      <c r="L929" s="67"/>
    </row>
    <row r="930" s="37" customFormat="1" ht="12.75" spans="1:12">
      <c r="G930" s="58"/>
      <c r="H930" s="59"/>
      <c r="I930" s="58"/>
      <c r="J930" s="67"/>
      <c r="K930" s="68"/>
      <c r="L930" s="67"/>
    </row>
    <row r="931" s="37" customFormat="1" ht="12.75" spans="1:12">
      <c r="G931" s="58"/>
      <c r="H931" s="59"/>
      <c r="I931" s="58"/>
      <c r="J931" s="67"/>
      <c r="K931" s="68"/>
      <c r="L931" s="67"/>
    </row>
    <row r="932" s="37" customFormat="1" ht="12.75" spans="1:12">
      <c r="G932" s="58"/>
      <c r="H932" s="59"/>
      <c r="I932" s="58"/>
      <c r="J932" s="67"/>
      <c r="K932" s="68"/>
      <c r="L932" s="67"/>
    </row>
    <row r="933" s="37" customFormat="1" ht="12.75" spans="1:12">
      <c r="G933" s="58"/>
      <c r="H933" s="59"/>
      <c r="I933" s="58"/>
      <c r="J933" s="67"/>
      <c r="K933" s="68"/>
      <c r="L933" s="67"/>
    </row>
    <row r="934" s="37" customFormat="1" ht="12.75" spans="1:12">
      <c r="G934" s="58"/>
      <c r="H934" s="59"/>
      <c r="I934" s="58"/>
      <c r="J934" s="67"/>
      <c r="K934" s="68"/>
      <c r="L934" s="67"/>
    </row>
    <row r="935" s="37" customFormat="1" ht="12.75" spans="1:12">
      <c r="A935" s="54"/>
      <c r="B935" s="54"/>
      <c r="C935" s="54"/>
      <c r="D935" s="54"/>
      <c r="E935" s="54"/>
      <c r="G935" s="58"/>
      <c r="H935" s="59"/>
      <c r="I935" s="58"/>
      <c r="J935" s="67"/>
      <c r="K935" s="68"/>
      <c r="L935" s="67"/>
    </row>
    <row r="936" s="37" customFormat="1" ht="12.75" spans="1:12">
      <c r="A936" s="54"/>
      <c r="B936" s="54"/>
      <c r="C936" s="54"/>
      <c r="D936" s="54"/>
      <c r="E936" s="54"/>
      <c r="G936" s="58"/>
      <c r="H936" s="59"/>
      <c r="I936" s="58"/>
      <c r="J936" s="67"/>
      <c r="K936" s="68"/>
      <c r="L936" s="67"/>
    </row>
    <row r="937" s="37" customFormat="1" ht="12.75" spans="1:12">
      <c r="G937" s="58"/>
      <c r="H937" s="59"/>
      <c r="I937" s="58"/>
      <c r="J937" s="67"/>
      <c r="K937" s="68"/>
      <c r="L937" s="67"/>
    </row>
    <row r="938" s="37" customFormat="1" ht="12.75" spans="1:12">
      <c r="G938" s="58"/>
      <c r="H938" s="59"/>
      <c r="I938" s="58"/>
      <c r="J938" s="67"/>
      <c r="K938" s="68"/>
      <c r="L938" s="67"/>
    </row>
    <row r="939" s="37" customFormat="1" ht="12.75" spans="1:12">
      <c r="G939" s="58"/>
      <c r="H939" s="59"/>
      <c r="I939" s="58"/>
      <c r="J939" s="67"/>
      <c r="K939" s="68"/>
      <c r="L939" s="67"/>
    </row>
    <row r="940" s="37" customFormat="1" ht="12.75" spans="1:12">
      <c r="G940" s="58"/>
      <c r="H940" s="59"/>
      <c r="I940" s="58"/>
      <c r="J940" s="67"/>
      <c r="K940" s="68"/>
      <c r="L940" s="67"/>
    </row>
    <row r="941" s="37" customFormat="1" ht="12.75" spans="1:12">
      <c r="G941" s="58"/>
      <c r="H941" s="59"/>
      <c r="I941" s="58"/>
      <c r="J941" s="67"/>
      <c r="K941" s="68"/>
      <c r="L941" s="67"/>
    </row>
    <row r="942" s="37" customFormat="1" ht="12.75" spans="1:12">
      <c r="G942" s="58"/>
      <c r="H942" s="59"/>
      <c r="I942" s="58"/>
      <c r="J942" s="67"/>
      <c r="K942" s="68"/>
      <c r="L942" s="67"/>
    </row>
    <row r="943" s="37" customFormat="1" ht="12.75" spans="1:12">
      <c r="A943" s="54"/>
      <c r="B943" s="54"/>
      <c r="C943" s="54"/>
      <c r="D943" s="54"/>
      <c r="E943" s="54"/>
      <c r="G943" s="58"/>
      <c r="H943" s="59"/>
      <c r="I943" s="58"/>
      <c r="J943" s="67"/>
      <c r="K943" s="68"/>
      <c r="L943" s="67"/>
    </row>
    <row r="944" s="37" customFormat="1" ht="12.75" spans="1:12">
      <c r="G944" s="58"/>
      <c r="H944" s="59"/>
      <c r="I944" s="58"/>
      <c r="J944" s="67"/>
      <c r="K944" s="68"/>
      <c r="L944" s="67"/>
    </row>
    <row r="945" s="37" customFormat="1" ht="12.75" spans="1:13">
      <c r="G945" s="58"/>
      <c r="H945" s="59"/>
      <c r="I945" s="58"/>
      <c r="J945" s="67"/>
      <c r="K945" s="68"/>
      <c r="L945" s="67"/>
    </row>
    <row r="946" s="37" customFormat="1" ht="12.75" spans="1:13">
      <c r="G946" s="58"/>
      <c r="H946" s="59"/>
      <c r="I946" s="58"/>
      <c r="J946" s="67"/>
      <c r="K946" s="68"/>
      <c r="L946" s="67"/>
    </row>
    <row r="947" s="37" customFormat="1" ht="12.75" spans="1:13">
      <c r="G947" s="58"/>
      <c r="H947" s="59"/>
      <c r="I947" s="58"/>
      <c r="J947" s="67"/>
      <c r="K947" s="68"/>
      <c r="L947" s="67"/>
    </row>
    <row r="948" s="37" customFormat="1" ht="12.75" spans="1:13">
      <c r="G948" s="58"/>
      <c r="H948" s="59"/>
      <c r="I948" s="58"/>
      <c r="J948" s="67"/>
      <c r="K948" s="68"/>
      <c r="L948" s="67"/>
    </row>
    <row r="949" s="37" customFormat="1" ht="12.75" spans="1:13">
      <c r="G949" s="58"/>
      <c r="H949" s="59"/>
      <c r="I949" s="58"/>
      <c r="J949" s="67"/>
      <c r="K949" s="68"/>
      <c r="L949" s="67"/>
    </row>
    <row r="950" s="37" customFormat="1" ht="12.75" spans="1:13">
      <c r="A950" s="54"/>
      <c r="B950" s="54"/>
      <c r="C950" s="54"/>
      <c r="D950" s="54"/>
      <c r="E950" s="54"/>
      <c r="G950" s="58"/>
      <c r="H950" s="59"/>
      <c r="I950" s="58" t="e">
        <f>ROUNDDOWN(G950/H950,0)</f>
        <v>#DIV/0!</v>
      </c>
      <c r="J950" s="67"/>
      <c r="K950" s="68"/>
      <c r="L950" s="67"/>
    </row>
    <row r="951" s="37" customFormat="1" ht="12.75" spans="1:13">
      <c r="G951" s="58"/>
      <c r="H951" s="59"/>
      <c r="I951" s="58" t="e">
        <f>ROUNDDOWN(G951/H951,0)</f>
        <v>#DIV/0!</v>
      </c>
      <c r="J951" s="67"/>
      <c r="K951" s="68"/>
      <c r="L951" s="67"/>
    </row>
    <row r="952" s="37" customFormat="1" ht="12.75" spans="1:13">
      <c r="A952" s="54"/>
      <c r="B952" s="54"/>
      <c r="C952" s="54"/>
      <c r="D952" s="54"/>
      <c r="E952" s="54"/>
      <c r="G952" s="58"/>
      <c r="H952" s="59"/>
      <c r="I952" s="58"/>
      <c r="J952" s="67"/>
      <c r="K952" s="68"/>
      <c r="L952" s="67"/>
    </row>
    <row r="953" s="37" customFormat="1" ht="12.75" spans="1:13">
      <c r="G953" s="58"/>
      <c r="H953" s="59"/>
      <c r="I953" s="58"/>
      <c r="J953" s="67"/>
      <c r="K953" s="68"/>
      <c r="L953" s="67"/>
    </row>
    <row r="954" s="37" customFormat="1" ht="12.75" spans="1:13">
      <c r="G954" s="58"/>
      <c r="H954" s="59"/>
      <c r="I954" s="58"/>
      <c r="J954" s="67"/>
      <c r="K954" s="68"/>
      <c r="L954" s="67"/>
    </row>
    <row r="955" s="37" customFormat="1" ht="12.75" spans="1:13">
      <c r="G955" s="58"/>
      <c r="H955" s="59"/>
      <c r="I955" s="58"/>
      <c r="J955" s="67"/>
      <c r="K955" s="68"/>
      <c r="L955" s="67"/>
    </row>
    <row r="956" s="37" customFormat="1" ht="12.75" spans="1:13">
      <c r="G956" s="58"/>
      <c r="H956" s="59"/>
      <c r="I956" s="58"/>
      <c r="J956" s="67"/>
      <c r="K956" s="68"/>
      <c r="L956" s="67"/>
    </row>
    <row r="957" s="37" customFormat="1" ht="12.75" spans="1:13">
      <c r="G957" s="58"/>
      <c r="H957" s="59"/>
      <c r="I957" s="58"/>
      <c r="J957" s="67"/>
      <c r="K957" s="68"/>
      <c r="L957" s="67"/>
    </row>
    <row r="958" s="37" customFormat="1" ht="12.75" spans="1:13">
      <c r="G958" s="58"/>
      <c r="H958" s="59"/>
      <c r="I958" s="58"/>
      <c r="J958" s="67"/>
      <c r="K958" s="68"/>
      <c r="L958" s="67"/>
    </row>
    <row r="959" s="37" customFormat="1" ht="12.75" spans="1:13">
      <c r="G959" s="58"/>
      <c r="H959" s="59"/>
      <c r="I959" s="58"/>
      <c r="J959" s="67"/>
      <c r="K959" s="68"/>
      <c r="L959" s="67"/>
    </row>
    <row r="960" s="37" customFormat="1" ht="12.75" spans="1:13">
      <c r="G960" s="58"/>
      <c r="H960" s="59"/>
      <c r="I960" s="58"/>
      <c r="J960" s="67"/>
      <c r="K960" s="68"/>
      <c r="L960" s="67"/>
      <c r="M960" s="73"/>
    </row>
    <row r="961" s="37" customFormat="1" ht="12.75" spans="7:13">
      <c r="G961" s="58"/>
      <c r="H961" s="59"/>
      <c r="I961" s="58"/>
      <c r="J961" s="67"/>
      <c r="K961" s="68"/>
      <c r="L961" s="67"/>
    </row>
    <row r="962" s="37" customFormat="1" ht="12.75" spans="7:13">
      <c r="G962" s="58"/>
      <c r="H962" s="59"/>
      <c r="I962" s="58"/>
      <c r="J962" s="67"/>
      <c r="K962" s="68"/>
      <c r="L962" s="67"/>
      <c r="M962" s="72"/>
    </row>
    <row r="963" s="37" customFormat="1" ht="12.75" spans="7:13">
      <c r="G963" s="58"/>
      <c r="H963" s="59"/>
      <c r="I963" s="58"/>
      <c r="J963" s="67"/>
      <c r="K963" s="68"/>
      <c r="L963" s="67"/>
    </row>
    <row r="964" s="37" customFormat="1" ht="12.75" spans="7:13">
      <c r="G964" s="58"/>
      <c r="H964" s="59"/>
      <c r="I964" s="58"/>
      <c r="J964" s="67"/>
      <c r="K964" s="68"/>
      <c r="L964" s="67"/>
    </row>
    <row r="965" s="37" customFormat="1" ht="12.75" spans="7:13">
      <c r="G965" s="58"/>
      <c r="H965" s="59"/>
      <c r="I965" s="58"/>
      <c r="J965" s="67"/>
      <c r="K965" s="68"/>
      <c r="L965" s="67"/>
    </row>
    <row r="966" s="37" customFormat="1" ht="12.75" spans="7:13">
      <c r="G966" s="58"/>
      <c r="H966" s="59"/>
      <c r="I966" s="58"/>
      <c r="J966" s="67"/>
      <c r="K966" s="68"/>
      <c r="L966" s="67"/>
    </row>
    <row r="967" s="37" customFormat="1" ht="12.75" spans="7:13">
      <c r="G967" s="58"/>
      <c r="H967" s="59"/>
      <c r="I967" s="58"/>
      <c r="J967" s="67"/>
      <c r="K967" s="68"/>
      <c r="L967" s="67"/>
    </row>
    <row r="968" s="37" customFormat="1" ht="12.75" spans="7:13">
      <c r="G968" s="58"/>
      <c r="H968" s="59"/>
      <c r="I968" s="58"/>
      <c r="J968" s="67"/>
      <c r="K968" s="68"/>
      <c r="L968" s="67"/>
    </row>
    <row r="969" s="37" customFormat="1" ht="12.75" spans="7:13">
      <c r="G969" s="58"/>
      <c r="H969" s="59"/>
      <c r="I969" s="58"/>
      <c r="J969" s="67"/>
      <c r="K969" s="68"/>
      <c r="L969" s="67"/>
    </row>
    <row r="970" s="37" customFormat="1" ht="12.75" spans="7:13">
      <c r="G970" s="58"/>
      <c r="H970" s="59"/>
      <c r="I970" s="58"/>
      <c r="J970" s="67"/>
      <c r="K970" s="68"/>
      <c r="L970" s="67"/>
    </row>
    <row r="971" s="37" customFormat="1" ht="12.75" spans="7:13">
      <c r="G971" s="58"/>
      <c r="H971" s="59"/>
      <c r="I971" s="58"/>
      <c r="J971" s="67"/>
      <c r="K971" s="68"/>
      <c r="L971" s="67"/>
    </row>
    <row r="972" s="37" customFormat="1" ht="12.75" spans="7:13">
      <c r="G972" s="58"/>
      <c r="H972" s="59"/>
      <c r="I972" s="58"/>
      <c r="J972" s="67"/>
      <c r="K972" s="68"/>
      <c r="L972" s="67"/>
    </row>
    <row r="973" s="37" customFormat="1" ht="12.75" spans="7:13">
      <c r="G973" s="58"/>
      <c r="H973" s="59"/>
      <c r="I973" s="58"/>
      <c r="J973" s="67"/>
      <c r="K973" s="68"/>
      <c r="L973" s="67"/>
    </row>
    <row r="974" s="37" customFormat="1" ht="12.75" spans="7:13">
      <c r="G974" s="58"/>
      <c r="H974" s="59"/>
      <c r="I974" s="58" t="e">
        <f>ROUNDDOWN(G974/H974,0)</f>
        <v>#DIV/0!</v>
      </c>
      <c r="J974" s="67"/>
      <c r="K974" s="68"/>
      <c r="L974" s="67"/>
    </row>
    <row r="975" s="37" customFormat="1" ht="12.75" spans="7:13">
      <c r="G975" s="58"/>
      <c r="H975" s="59"/>
      <c r="I975" s="58" t="e">
        <f>ROUNDDOWN(G975/H975,0)</f>
        <v>#DIV/0!</v>
      </c>
      <c r="J975" s="67"/>
      <c r="K975" s="68"/>
      <c r="L975" s="67"/>
    </row>
    <row r="976" s="37" customFormat="1" ht="12.75" spans="7:13">
      <c r="G976" s="58"/>
      <c r="H976" s="59"/>
      <c r="I976" s="58"/>
      <c r="J976" s="67"/>
      <c r="K976" s="68"/>
      <c r="L976" s="67"/>
    </row>
    <row r="977" s="37" customFormat="1" ht="12.75" spans="7:12">
      <c r="G977" s="58"/>
      <c r="H977" s="59"/>
      <c r="I977" s="58"/>
      <c r="J977" s="67"/>
      <c r="K977" s="68"/>
      <c r="L977" s="67"/>
    </row>
    <row r="978" s="37" customFormat="1" ht="12.75" spans="7:12">
      <c r="G978" s="58"/>
      <c r="H978" s="59"/>
      <c r="I978" s="58"/>
      <c r="J978" s="67"/>
      <c r="K978" s="68"/>
      <c r="L978" s="67"/>
    </row>
    <row r="979" s="37" customFormat="1" ht="12.75" spans="7:12">
      <c r="G979" s="58"/>
      <c r="H979" s="59"/>
      <c r="I979" s="58"/>
      <c r="J979" s="67"/>
      <c r="K979" s="68"/>
      <c r="L979" s="67"/>
    </row>
    <row r="980" s="37" customFormat="1" ht="12.75" spans="7:12">
      <c r="G980" s="58"/>
      <c r="H980" s="59"/>
      <c r="I980" s="58"/>
      <c r="J980" s="67"/>
      <c r="K980" s="68"/>
      <c r="L980" s="67"/>
    </row>
    <row r="981" s="37" customFormat="1" ht="12.75" spans="7:12">
      <c r="G981" s="58"/>
      <c r="H981" s="59"/>
      <c r="I981" s="58"/>
      <c r="J981" s="67"/>
      <c r="K981" s="68"/>
      <c r="L981" s="67"/>
    </row>
    <row r="982" s="37" customFormat="1" ht="12.75" spans="7:12">
      <c r="G982" s="58"/>
      <c r="H982" s="59"/>
      <c r="I982" s="58"/>
      <c r="J982" s="67"/>
      <c r="K982" s="68"/>
      <c r="L982" s="67"/>
    </row>
    <row r="983" s="37" customFormat="1" ht="12.75" spans="7:12">
      <c r="G983" s="58"/>
      <c r="H983" s="59"/>
      <c r="I983" s="58"/>
      <c r="J983" s="67"/>
      <c r="K983" s="68"/>
      <c r="L983" s="67"/>
    </row>
    <row r="984" s="37" customFormat="1" ht="12.75" spans="7:12">
      <c r="G984" s="58"/>
      <c r="H984" s="59"/>
      <c r="I984" s="58"/>
      <c r="J984" s="67"/>
      <c r="K984" s="68"/>
      <c r="L984" s="67"/>
    </row>
    <row r="985" s="37" customFormat="1" ht="12.75" spans="7:12">
      <c r="G985" s="58"/>
      <c r="H985" s="59"/>
      <c r="I985" s="58"/>
      <c r="J985" s="67"/>
      <c r="K985" s="68"/>
      <c r="L985" s="67"/>
    </row>
    <row r="986" s="37" customFormat="1" ht="12.75" spans="7:12">
      <c r="G986" s="58"/>
      <c r="H986" s="59"/>
      <c r="I986" s="58" t="e">
        <f>ROUNDDOWN(G986/H986,0)</f>
        <v>#DIV/0!</v>
      </c>
      <c r="J986" s="67"/>
      <c r="K986" s="68"/>
      <c r="L986" s="67"/>
    </row>
    <row r="987" s="37" customFormat="1" ht="12.75" spans="7:12">
      <c r="G987" s="58"/>
      <c r="H987" s="59"/>
      <c r="I987" s="58"/>
      <c r="J987" s="67"/>
      <c r="K987" s="68"/>
      <c r="L987" s="67"/>
    </row>
    <row r="988" s="37" customFormat="1" ht="12.75" spans="7:12">
      <c r="G988" s="58"/>
      <c r="H988" s="59"/>
      <c r="I988" s="58"/>
      <c r="J988" s="67"/>
      <c r="K988" s="68"/>
      <c r="L988" s="67"/>
    </row>
    <row r="989" s="37" customFormat="1" ht="12.75" spans="7:12">
      <c r="G989" s="58"/>
      <c r="H989" s="59"/>
      <c r="I989" s="58"/>
      <c r="J989" s="67"/>
      <c r="K989" s="68"/>
      <c r="L989" s="67"/>
    </row>
    <row r="990" s="37" customFormat="1" ht="12.75" spans="7:12">
      <c r="G990" s="58"/>
      <c r="H990" s="59"/>
      <c r="I990" s="58"/>
      <c r="J990" s="67"/>
      <c r="K990" s="68"/>
      <c r="L990" s="67"/>
    </row>
    <row r="991" s="37" customFormat="1" ht="12.75" spans="7:12">
      <c r="G991" s="58"/>
      <c r="H991" s="59"/>
      <c r="I991" s="58"/>
      <c r="J991" s="67"/>
      <c r="K991" s="68"/>
      <c r="L991" s="67"/>
    </row>
    <row r="992" s="37" customFormat="1" ht="12.75" spans="7:12">
      <c r="G992" s="58"/>
      <c r="H992" s="59"/>
      <c r="I992" s="58"/>
      <c r="J992" s="67"/>
      <c r="K992" s="68"/>
      <c r="L992" s="67"/>
    </row>
    <row r="993" s="37" customFormat="1" ht="12.75" spans="7:12">
      <c r="G993" s="58"/>
      <c r="H993" s="59"/>
      <c r="I993" s="58"/>
      <c r="J993" s="67"/>
      <c r="K993" s="68"/>
      <c r="L993" s="67"/>
    </row>
    <row r="994" s="37" customFormat="1" ht="12.75" spans="7:12">
      <c r="G994" s="58"/>
      <c r="H994" s="59"/>
      <c r="I994" s="58"/>
      <c r="J994" s="67"/>
      <c r="K994" s="68"/>
      <c r="L994" s="67"/>
    </row>
    <row r="995" s="37" customFormat="1" ht="12.75" spans="7:12">
      <c r="G995" s="58"/>
      <c r="H995" s="59"/>
      <c r="I995" s="58"/>
      <c r="J995" s="67"/>
      <c r="K995" s="68"/>
      <c r="L995" s="67"/>
    </row>
    <row r="996" s="37" customFormat="1" ht="12.75" spans="7:12">
      <c r="G996" s="58"/>
      <c r="H996" s="59"/>
      <c r="I996" s="58"/>
      <c r="J996" s="67"/>
      <c r="K996" s="68"/>
      <c r="L996" s="67"/>
    </row>
    <row r="997" s="37" customFormat="1" ht="12.75" spans="7:12">
      <c r="G997" s="58"/>
      <c r="H997" s="59"/>
      <c r="I997" s="58"/>
      <c r="J997" s="67"/>
      <c r="K997" s="68"/>
      <c r="L997" s="67"/>
    </row>
    <row r="998" s="37" customFormat="1" ht="12.75" spans="7:12">
      <c r="G998" s="58"/>
      <c r="H998" s="59"/>
      <c r="I998" s="58"/>
      <c r="J998" s="67"/>
      <c r="K998" s="68"/>
      <c r="L998" s="67"/>
    </row>
    <row r="999" s="37" customFormat="1" ht="12.75" spans="7:12">
      <c r="G999" s="58"/>
      <c r="H999" s="59"/>
      <c r="I999" s="58"/>
      <c r="J999" s="67"/>
      <c r="K999" s="68"/>
      <c r="L999" s="67"/>
    </row>
    <row r="1000" s="37" customFormat="1" ht="12.75" spans="7:12">
      <c r="G1000" s="58"/>
      <c r="H1000" s="59"/>
      <c r="I1000" s="58"/>
      <c r="J1000" s="67"/>
      <c r="K1000" s="68"/>
      <c r="L1000" s="67"/>
    </row>
    <row r="1001" s="37" customFormat="1" ht="12.75" spans="7:12">
      <c r="G1001" s="58"/>
      <c r="H1001" s="59"/>
      <c r="I1001" s="58"/>
      <c r="J1001" s="67"/>
      <c r="K1001" s="68"/>
      <c r="L1001" s="67"/>
    </row>
    <row r="1002" s="37" customFormat="1" ht="12.75" spans="7:12">
      <c r="G1002" s="58"/>
      <c r="H1002" s="59"/>
      <c r="I1002" s="58"/>
      <c r="J1002" s="67"/>
      <c r="K1002" s="68"/>
      <c r="L1002" s="67"/>
    </row>
    <row r="1003" s="37" customFormat="1" ht="12.75" spans="7:12">
      <c r="G1003" s="58"/>
      <c r="H1003" s="59"/>
      <c r="I1003" s="58"/>
      <c r="J1003" s="67"/>
      <c r="K1003" s="68"/>
      <c r="L1003" s="67"/>
    </row>
    <row r="1004" s="37" customFormat="1" ht="12.75" spans="7:12">
      <c r="G1004" s="58"/>
      <c r="H1004" s="59"/>
      <c r="I1004" s="58"/>
      <c r="J1004" s="67"/>
      <c r="K1004" s="68"/>
      <c r="L1004" s="67"/>
    </row>
    <row r="1005" s="37" customFormat="1" ht="12.75" spans="7:12">
      <c r="G1005" s="58"/>
      <c r="H1005" s="59"/>
      <c r="I1005" s="58"/>
      <c r="J1005" s="67"/>
      <c r="K1005" s="68"/>
      <c r="L1005" s="67"/>
    </row>
    <row r="1006" s="37" customFormat="1" ht="12.75" spans="7:12">
      <c r="G1006" s="58"/>
      <c r="H1006" s="59"/>
      <c r="I1006" s="58"/>
      <c r="J1006" s="67"/>
      <c r="K1006" s="68"/>
      <c r="L1006" s="67"/>
    </row>
    <row r="1007" s="37" customFormat="1" ht="12.75" spans="7:12">
      <c r="G1007" s="58"/>
      <c r="H1007" s="59"/>
      <c r="I1007" s="58"/>
      <c r="J1007" s="67"/>
      <c r="K1007" s="68"/>
      <c r="L1007" s="67"/>
    </row>
    <row r="1008" s="37" customFormat="1" ht="12.75" spans="7:12">
      <c r="G1008" s="58"/>
      <c r="H1008" s="59"/>
      <c r="I1008" s="58" t="e">
        <f>ROUNDDOWN(G1008/H1008,0)</f>
        <v>#DIV/0!</v>
      </c>
      <c r="J1008" s="67"/>
      <c r="K1008" s="68"/>
      <c r="L1008" s="67"/>
    </row>
    <row r="1009" s="37" customFormat="1" ht="12.75" spans="7:12">
      <c r="G1009" s="58"/>
      <c r="H1009" s="59"/>
      <c r="I1009" s="58" t="e">
        <f>ROUNDDOWN(G1009/H1009,0)</f>
        <v>#DIV/0!</v>
      </c>
      <c r="J1009" s="67"/>
      <c r="K1009" s="68"/>
      <c r="L1009" s="67"/>
    </row>
    <row r="1010" s="37" customFormat="1" ht="12.75" spans="7:12">
      <c r="G1010" s="58"/>
      <c r="H1010" s="59"/>
      <c r="I1010" s="58"/>
      <c r="J1010" s="67"/>
      <c r="K1010" s="68"/>
      <c r="L1010" s="67"/>
    </row>
    <row r="1011" s="37" customFormat="1" ht="12.75" spans="7:12">
      <c r="G1011" s="58"/>
      <c r="H1011" s="59"/>
      <c r="I1011" s="58"/>
      <c r="J1011" s="67"/>
      <c r="K1011" s="68"/>
      <c r="L1011" s="67"/>
    </row>
    <row r="1012" s="37" customFormat="1" ht="12.75" spans="7:12">
      <c r="G1012" s="58"/>
      <c r="H1012" s="59"/>
      <c r="I1012" s="58"/>
      <c r="J1012" s="67"/>
      <c r="K1012" s="68"/>
      <c r="L1012" s="67"/>
    </row>
    <row r="1013" s="37" customFormat="1" ht="12.75" spans="7:12">
      <c r="G1013" s="58"/>
      <c r="H1013" s="59"/>
      <c r="I1013" s="58"/>
      <c r="J1013" s="67"/>
      <c r="K1013" s="68"/>
      <c r="L1013" s="67"/>
    </row>
    <row r="1014" s="37" customFormat="1" ht="12.75" spans="7:12">
      <c r="G1014" s="58"/>
      <c r="H1014" s="59"/>
      <c r="I1014" s="58"/>
      <c r="J1014" s="67"/>
      <c r="K1014" s="68"/>
      <c r="L1014" s="67"/>
    </row>
    <row r="1015" s="37" customFormat="1" ht="12.75" spans="7:12">
      <c r="G1015" s="58"/>
      <c r="H1015" s="59"/>
      <c r="I1015" s="58"/>
      <c r="J1015" s="67"/>
      <c r="K1015" s="68"/>
      <c r="L1015" s="67"/>
    </row>
    <row r="1016" s="37" customFormat="1" ht="12.75" spans="7:12">
      <c r="G1016" s="58"/>
      <c r="H1016" s="59"/>
      <c r="I1016" s="58"/>
      <c r="J1016" s="67"/>
      <c r="K1016" s="68"/>
      <c r="L1016" s="67"/>
    </row>
    <row r="1017" s="37" customFormat="1" ht="12.75" spans="7:12">
      <c r="G1017" s="58"/>
      <c r="H1017" s="59"/>
      <c r="I1017" s="58"/>
      <c r="J1017" s="67"/>
      <c r="K1017" s="68"/>
      <c r="L1017" s="67"/>
    </row>
    <row r="1018" s="37" customFormat="1" ht="12.75" spans="7:12">
      <c r="G1018" s="58"/>
      <c r="H1018" s="59"/>
      <c r="I1018" s="58"/>
      <c r="J1018" s="67"/>
      <c r="K1018" s="68"/>
      <c r="L1018" s="67"/>
    </row>
    <row r="1019" s="37" customFormat="1" ht="12.75" spans="7:12">
      <c r="G1019" s="58"/>
      <c r="H1019" s="59"/>
      <c r="I1019" s="58"/>
      <c r="J1019" s="67"/>
      <c r="K1019" s="68"/>
      <c r="L1019" s="67"/>
    </row>
    <row r="1020" s="37" customFormat="1" ht="12.75" spans="7:12">
      <c r="G1020" s="58"/>
      <c r="H1020" s="59"/>
      <c r="I1020" s="58"/>
      <c r="J1020" s="67"/>
      <c r="K1020" s="68"/>
      <c r="L1020" s="67"/>
    </row>
    <row r="1021" s="37" customFormat="1" ht="12.75" spans="7:12">
      <c r="G1021" s="58"/>
      <c r="H1021" s="59"/>
      <c r="I1021" s="58"/>
      <c r="J1021" s="67"/>
      <c r="K1021" s="68"/>
      <c r="L1021" s="67"/>
    </row>
    <row r="1022" s="37" customFormat="1" ht="12.75" spans="7:12">
      <c r="G1022" s="58"/>
      <c r="H1022" s="59"/>
      <c r="I1022" s="58"/>
      <c r="J1022" s="67"/>
      <c r="K1022" s="68"/>
      <c r="L1022" s="67"/>
    </row>
    <row r="1023" s="37" customFormat="1" ht="12.75" spans="7:12">
      <c r="G1023" s="58"/>
      <c r="H1023" s="59"/>
      <c r="I1023" s="58"/>
      <c r="J1023" s="67"/>
      <c r="K1023" s="68"/>
      <c r="L1023" s="67"/>
    </row>
    <row r="1024" s="37" customFormat="1" ht="12.75" spans="7:12">
      <c r="G1024" s="58"/>
      <c r="H1024" s="59"/>
      <c r="I1024" s="58"/>
      <c r="J1024" s="67"/>
      <c r="K1024" s="68"/>
      <c r="L1024" s="67"/>
    </row>
    <row r="1025" s="37" customFormat="1" ht="12.75" spans="7:12">
      <c r="G1025" s="58"/>
      <c r="H1025" s="59"/>
      <c r="I1025" s="58"/>
      <c r="J1025" s="67"/>
      <c r="K1025" s="68"/>
      <c r="L1025" s="67"/>
    </row>
    <row r="1026" s="37" customFormat="1" ht="12.75" spans="7:12">
      <c r="G1026" s="58"/>
      <c r="H1026" s="59"/>
      <c r="I1026" s="58"/>
      <c r="J1026" s="67"/>
      <c r="K1026" s="68"/>
      <c r="L1026" s="67"/>
    </row>
    <row r="1027" s="37" customFormat="1" ht="12.75" spans="7:12">
      <c r="G1027" s="58"/>
      <c r="H1027" s="59"/>
      <c r="I1027" s="58"/>
      <c r="J1027" s="67"/>
      <c r="K1027" s="68"/>
      <c r="L1027" s="67"/>
    </row>
    <row r="1028" s="37" customFormat="1" ht="12.75" spans="7:12">
      <c r="G1028" s="58"/>
      <c r="H1028" s="59"/>
      <c r="I1028" s="58"/>
      <c r="J1028" s="67"/>
      <c r="K1028" s="68"/>
      <c r="L1028" s="67"/>
    </row>
    <row r="1029" s="37" customFormat="1" ht="12.75" spans="7:12">
      <c r="G1029" s="58"/>
      <c r="H1029" s="59"/>
      <c r="I1029" s="58"/>
      <c r="J1029" s="67"/>
      <c r="K1029" s="68"/>
      <c r="L1029" s="67"/>
    </row>
    <row r="1030" s="37" customFormat="1" ht="12.75" spans="7:12">
      <c r="G1030" s="58"/>
      <c r="H1030" s="59"/>
      <c r="I1030" s="58"/>
      <c r="J1030" s="67"/>
      <c r="K1030" s="68"/>
      <c r="L1030" s="67"/>
    </row>
    <row r="1031" s="37" customFormat="1" ht="12.75" spans="7:12">
      <c r="G1031" s="58"/>
      <c r="H1031" s="59"/>
      <c r="I1031" s="58"/>
      <c r="J1031" s="67"/>
      <c r="K1031" s="68"/>
      <c r="L1031" s="67"/>
    </row>
    <row r="1032" s="37" customFormat="1" ht="12.75" spans="7:12">
      <c r="G1032" s="58"/>
      <c r="H1032" s="59"/>
      <c r="I1032" s="58"/>
      <c r="J1032" s="67"/>
      <c r="K1032" s="68"/>
      <c r="L1032" s="67"/>
    </row>
    <row r="1033" s="37" customFormat="1" ht="12.75" spans="7:12">
      <c r="G1033" s="58"/>
      <c r="H1033" s="59"/>
      <c r="I1033" s="58"/>
      <c r="J1033" s="67"/>
      <c r="K1033" s="68"/>
      <c r="L1033" s="67"/>
    </row>
    <row r="1034" s="37" customFormat="1" ht="12.75" spans="7:12">
      <c r="G1034" s="58"/>
      <c r="H1034" s="59"/>
      <c r="I1034" s="58" t="e">
        <f>ROUNDDOWN(G1034/H1034,0)</f>
        <v>#DIV/0!</v>
      </c>
      <c r="J1034" s="67"/>
      <c r="K1034" s="68"/>
      <c r="L1034" s="67"/>
    </row>
    <row r="1035" s="37" customFormat="1" ht="12.75" spans="7:12">
      <c r="G1035" s="58"/>
      <c r="H1035" s="59"/>
      <c r="I1035" s="58" t="e">
        <f>ROUNDDOWN(G1035/H1035,0)</f>
        <v>#DIV/0!</v>
      </c>
      <c r="J1035" s="67"/>
      <c r="K1035" s="68"/>
      <c r="L1035" s="67"/>
    </row>
    <row r="1036" s="37" customFormat="1" ht="12.75" spans="7:12">
      <c r="G1036" s="58"/>
      <c r="H1036" s="59"/>
      <c r="I1036" s="58"/>
      <c r="J1036" s="67"/>
      <c r="K1036" s="68"/>
      <c r="L1036" s="67"/>
    </row>
    <row r="1037" s="37" customFormat="1" ht="12.75" spans="7:12">
      <c r="G1037" s="58"/>
      <c r="H1037" s="59"/>
      <c r="I1037" s="58"/>
      <c r="J1037" s="67"/>
      <c r="K1037" s="68"/>
      <c r="L1037" s="67"/>
    </row>
    <row r="1038" s="37" customFormat="1" ht="12.75" spans="7:12">
      <c r="G1038" s="58"/>
      <c r="H1038" s="59"/>
      <c r="I1038" s="58"/>
      <c r="J1038" s="67"/>
      <c r="K1038" s="68"/>
      <c r="L1038" s="67"/>
    </row>
    <row r="1039" s="37" customFormat="1" ht="12.75" spans="7:12">
      <c r="G1039" s="58"/>
      <c r="H1039" s="59"/>
      <c r="I1039" s="58"/>
      <c r="J1039" s="67"/>
      <c r="K1039" s="68"/>
      <c r="L1039" s="67"/>
    </row>
    <row r="1040" s="37" customFormat="1" ht="12.75" spans="7:12">
      <c r="G1040" s="58"/>
      <c r="H1040" s="59"/>
      <c r="I1040" s="58"/>
      <c r="J1040" s="67"/>
      <c r="K1040" s="68"/>
      <c r="L1040" s="67"/>
    </row>
    <row r="1041" s="37" customFormat="1" ht="12.75" spans="7:12">
      <c r="G1041" s="58"/>
      <c r="H1041" s="59"/>
      <c r="I1041" s="58"/>
      <c r="J1041" s="67"/>
      <c r="K1041" s="68"/>
      <c r="L1041" s="67"/>
    </row>
    <row r="1042" s="37" customFormat="1" ht="12.75" spans="7:12">
      <c r="G1042" s="58"/>
      <c r="H1042" s="59"/>
      <c r="I1042" s="58"/>
      <c r="J1042" s="67"/>
      <c r="K1042" s="68"/>
      <c r="L1042" s="67"/>
    </row>
    <row r="1043" s="37" customFormat="1" ht="12.75" spans="7:12">
      <c r="G1043" s="58"/>
      <c r="H1043" s="59"/>
      <c r="I1043" s="58"/>
      <c r="J1043" s="67"/>
      <c r="K1043" s="68"/>
      <c r="L1043" s="67"/>
    </row>
    <row r="1044" s="37" customFormat="1" ht="12.75" spans="7:12">
      <c r="G1044" s="58"/>
      <c r="H1044" s="59"/>
      <c r="I1044" s="58"/>
      <c r="J1044" s="67"/>
      <c r="K1044" s="68"/>
      <c r="L1044" s="67"/>
    </row>
    <row r="1045" s="37" customFormat="1" ht="12.75" spans="7:12">
      <c r="G1045" s="58"/>
      <c r="H1045" s="59"/>
      <c r="I1045" s="58"/>
      <c r="J1045" s="67"/>
      <c r="K1045" s="68"/>
      <c r="L1045" s="67"/>
    </row>
    <row r="1046" s="37" customFormat="1" ht="12.75" spans="7:12">
      <c r="G1046" s="58"/>
      <c r="H1046" s="59"/>
      <c r="I1046" s="58"/>
      <c r="J1046" s="67"/>
      <c r="K1046" s="68"/>
      <c r="L1046" s="67"/>
    </row>
    <row r="1047" s="37" customFormat="1" ht="12.75" spans="7:12">
      <c r="G1047" s="58"/>
      <c r="H1047" s="59"/>
      <c r="I1047" s="58"/>
      <c r="J1047" s="67"/>
      <c r="K1047" s="68"/>
      <c r="L1047" s="67"/>
    </row>
    <row r="1048" s="37" customFormat="1" ht="12.75" spans="7:12">
      <c r="G1048" s="58"/>
      <c r="H1048" s="59"/>
      <c r="I1048" s="58"/>
      <c r="J1048" s="67"/>
      <c r="K1048" s="68"/>
      <c r="L1048" s="67"/>
    </row>
    <row r="1049" s="37" customFormat="1" ht="12.75" spans="7:12">
      <c r="G1049" s="58"/>
      <c r="H1049" s="59"/>
      <c r="I1049" s="58"/>
      <c r="J1049" s="67"/>
      <c r="K1049" s="68"/>
      <c r="L1049" s="67"/>
    </row>
    <row r="1050" s="37" customFormat="1" ht="12.75" spans="7:12">
      <c r="G1050" s="58"/>
      <c r="H1050" s="59"/>
      <c r="I1050" s="58"/>
      <c r="J1050" s="67"/>
      <c r="K1050" s="68"/>
      <c r="L1050" s="67"/>
    </row>
    <row r="1051" s="37" customFormat="1" ht="12.75" spans="7:12">
      <c r="G1051" s="58"/>
      <c r="H1051" s="59"/>
      <c r="I1051" s="58"/>
      <c r="J1051" s="67"/>
      <c r="K1051" s="68"/>
      <c r="L1051" s="67"/>
    </row>
    <row r="1052" s="37" customFormat="1" ht="12.75" spans="7:12">
      <c r="G1052" s="58"/>
      <c r="H1052" s="59"/>
      <c r="I1052" s="58"/>
      <c r="J1052" s="67"/>
      <c r="K1052" s="68"/>
      <c r="L1052" s="67"/>
    </row>
    <row r="1053" s="37" customFormat="1" ht="12.75" spans="7:12">
      <c r="G1053" s="58"/>
      <c r="H1053" s="59"/>
      <c r="I1053" s="58"/>
      <c r="J1053" s="67"/>
      <c r="K1053" s="68"/>
      <c r="L1053" s="67"/>
    </row>
    <row r="1054" s="37" customFormat="1" ht="12.75" spans="7:12">
      <c r="G1054" s="58"/>
      <c r="H1054" s="59"/>
      <c r="I1054" s="58"/>
      <c r="J1054" s="67"/>
      <c r="K1054" s="68"/>
      <c r="L1054" s="67"/>
    </row>
    <row r="1055" s="37" customFormat="1" ht="12.75" spans="7:12">
      <c r="G1055" s="58"/>
      <c r="H1055" s="59"/>
      <c r="I1055" s="58"/>
      <c r="J1055" s="67"/>
      <c r="K1055" s="68"/>
      <c r="L1055" s="67"/>
    </row>
    <row r="1056" s="37" customFormat="1" ht="12.75" spans="7:12">
      <c r="G1056" s="58"/>
      <c r="H1056" s="59"/>
      <c r="I1056" s="58"/>
      <c r="J1056" s="67"/>
      <c r="K1056" s="68"/>
      <c r="L1056" s="67"/>
    </row>
    <row r="1057" s="37" customFormat="1" ht="12.75" spans="7:12">
      <c r="G1057" s="58"/>
      <c r="H1057" s="59"/>
      <c r="I1057" s="58"/>
      <c r="J1057" s="67"/>
      <c r="K1057" s="68"/>
      <c r="L1057" s="67"/>
    </row>
    <row r="1058" s="37" customFormat="1" ht="12.75" spans="7:12">
      <c r="G1058" s="58"/>
      <c r="H1058" s="59"/>
      <c r="I1058" s="58"/>
      <c r="J1058" s="67"/>
      <c r="K1058" s="68"/>
      <c r="L1058" s="67"/>
    </row>
    <row r="1059" s="37" customFormat="1" ht="12.75" spans="7:12">
      <c r="G1059" s="58"/>
      <c r="H1059" s="59"/>
      <c r="I1059" s="58"/>
      <c r="J1059" s="67"/>
      <c r="K1059" s="68"/>
      <c r="L1059" s="67"/>
    </row>
    <row r="1060" s="37" customFormat="1" ht="12.75" spans="7:12">
      <c r="G1060" s="58"/>
      <c r="H1060" s="59"/>
      <c r="I1060" s="58" t="e">
        <f>ROUNDDOWN(G1060/H1060,0)</f>
        <v>#DIV/0!</v>
      </c>
      <c r="J1060" s="67"/>
      <c r="K1060" s="68"/>
      <c r="L1060" s="67"/>
    </row>
    <row r="1061" s="37" customFormat="1" ht="12.75" spans="7:12">
      <c r="G1061" s="58"/>
      <c r="H1061" s="59"/>
      <c r="I1061" s="58" t="e">
        <f>ROUNDDOWN(G1061/H1061,0)</f>
        <v>#DIV/0!</v>
      </c>
      <c r="J1061" s="67"/>
      <c r="K1061" s="68"/>
      <c r="L1061" s="67"/>
    </row>
    <row r="1062" s="37" customFormat="1" ht="12.75" spans="7:12">
      <c r="G1062" s="58"/>
      <c r="H1062" s="59"/>
      <c r="I1062" s="58"/>
      <c r="J1062" s="67"/>
      <c r="K1062" s="68"/>
      <c r="L1062" s="67"/>
    </row>
    <row r="1063" s="37" customFormat="1" ht="12.75" spans="7:12">
      <c r="G1063" s="58"/>
      <c r="H1063" s="59"/>
      <c r="I1063" s="58"/>
      <c r="J1063" s="67"/>
      <c r="K1063" s="68"/>
      <c r="L1063" s="67"/>
    </row>
    <row r="1064" s="37" customFormat="1" ht="12.75" spans="7:12">
      <c r="G1064" s="58"/>
      <c r="H1064" s="59"/>
      <c r="I1064" s="58"/>
      <c r="J1064" s="67"/>
      <c r="K1064" s="68"/>
      <c r="L1064" s="67"/>
    </row>
    <row r="1065" s="37" customFormat="1" ht="12.75" spans="7:12">
      <c r="G1065" s="58"/>
      <c r="H1065" s="59"/>
      <c r="I1065" s="58"/>
      <c r="J1065" s="67"/>
      <c r="K1065" s="68"/>
      <c r="L1065" s="67"/>
    </row>
    <row r="1066" s="37" customFormat="1" ht="12.75" spans="7:12">
      <c r="G1066" s="58"/>
      <c r="H1066" s="59"/>
      <c r="I1066" s="58"/>
      <c r="J1066" s="67"/>
      <c r="K1066" s="68"/>
      <c r="L1066" s="67"/>
    </row>
    <row r="1067" s="37" customFormat="1" ht="12.75" spans="7:12">
      <c r="G1067" s="58"/>
      <c r="H1067" s="59"/>
      <c r="I1067" s="58"/>
      <c r="J1067" s="67"/>
      <c r="K1067" s="68"/>
      <c r="L1067" s="67"/>
    </row>
    <row r="1068" s="37" customFormat="1" ht="12.75" spans="7:12">
      <c r="G1068" s="58"/>
      <c r="H1068" s="59"/>
      <c r="I1068" s="58"/>
      <c r="J1068" s="67"/>
      <c r="K1068" s="68"/>
      <c r="L1068" s="67"/>
    </row>
    <row r="1069" s="37" customFormat="1" ht="12.75" spans="7:12">
      <c r="G1069" s="58"/>
      <c r="H1069" s="59"/>
      <c r="I1069" s="58"/>
      <c r="J1069" s="67"/>
      <c r="K1069" s="68"/>
      <c r="L1069" s="67"/>
    </row>
    <row r="1070" s="37" customFormat="1" ht="12.75" spans="7:12">
      <c r="G1070" s="58"/>
      <c r="H1070" s="59"/>
      <c r="I1070" s="58"/>
      <c r="J1070" s="67"/>
      <c r="K1070" s="68"/>
      <c r="L1070" s="67"/>
    </row>
    <row r="1071" s="37" customFormat="1" ht="12.75" spans="7:12">
      <c r="G1071" s="58"/>
      <c r="H1071" s="59"/>
      <c r="I1071" s="58"/>
      <c r="J1071" s="67"/>
      <c r="K1071" s="68"/>
      <c r="L1071" s="67"/>
    </row>
    <row r="1072" s="37" customFormat="1" ht="12.75" spans="7:12">
      <c r="G1072" s="58"/>
      <c r="H1072" s="59"/>
      <c r="I1072" s="58"/>
      <c r="J1072" s="67"/>
      <c r="K1072" s="68"/>
      <c r="L1072" s="67"/>
    </row>
    <row r="1073" s="37" customFormat="1" ht="12.75" spans="7:12">
      <c r="G1073" s="58"/>
      <c r="H1073" s="59"/>
      <c r="I1073" s="58"/>
      <c r="J1073" s="67"/>
      <c r="K1073" s="68"/>
      <c r="L1073" s="67"/>
    </row>
    <row r="1074" s="37" customFormat="1" ht="12.75" spans="7:12">
      <c r="G1074" s="58"/>
      <c r="H1074" s="59"/>
      <c r="I1074" s="58"/>
      <c r="J1074" s="67"/>
      <c r="K1074" s="68"/>
      <c r="L1074" s="67"/>
    </row>
    <row r="1075" s="37" customFormat="1" ht="12.75" spans="7:12">
      <c r="G1075" s="58"/>
      <c r="H1075" s="59"/>
      <c r="I1075" s="58"/>
      <c r="J1075" s="67"/>
      <c r="K1075" s="68"/>
      <c r="L1075" s="67"/>
    </row>
    <row r="1076" s="37" customFormat="1" ht="12.75" spans="7:12">
      <c r="G1076" s="58"/>
      <c r="H1076" s="59"/>
      <c r="I1076" s="58"/>
      <c r="J1076" s="67"/>
      <c r="K1076" s="68"/>
      <c r="L1076" s="67"/>
    </row>
    <row r="1077" s="37" customFormat="1" ht="12.75" spans="7:12">
      <c r="G1077" s="58"/>
      <c r="H1077" s="59"/>
      <c r="I1077" s="58"/>
      <c r="J1077" s="67"/>
      <c r="K1077" s="68"/>
      <c r="L1077" s="67"/>
    </row>
    <row r="1078" s="37" customFormat="1" ht="12.75" spans="7:12">
      <c r="G1078" s="58"/>
      <c r="H1078" s="59"/>
      <c r="I1078" s="58"/>
      <c r="J1078" s="67"/>
      <c r="K1078" s="68"/>
      <c r="L1078" s="67"/>
    </row>
    <row r="1079" s="37" customFormat="1" ht="12.75" spans="7:12">
      <c r="G1079" s="58"/>
      <c r="H1079" s="59"/>
      <c r="I1079" s="58"/>
      <c r="J1079" s="67"/>
      <c r="K1079" s="68"/>
      <c r="L1079" s="67"/>
    </row>
    <row r="1080" s="37" customFormat="1" ht="12.75" spans="7:12">
      <c r="G1080" s="58"/>
      <c r="H1080" s="59"/>
      <c r="I1080" s="58"/>
      <c r="J1080" s="67"/>
      <c r="K1080" s="68"/>
      <c r="L1080" s="67"/>
    </row>
    <row r="1081" s="37" customFormat="1" ht="12.75" spans="7:12">
      <c r="G1081" s="58"/>
      <c r="H1081" s="59"/>
      <c r="I1081" s="58"/>
      <c r="J1081" s="67"/>
      <c r="K1081" s="68"/>
      <c r="L1081" s="67"/>
    </row>
    <row r="1082" s="37" customFormat="1" ht="12.75" spans="7:12">
      <c r="G1082" s="58"/>
      <c r="H1082" s="59"/>
      <c r="I1082" s="58"/>
      <c r="J1082" s="67"/>
      <c r="K1082" s="68"/>
      <c r="L1082" s="67"/>
    </row>
    <row r="1083" s="37" customFormat="1" ht="12.75" spans="7:12">
      <c r="G1083" s="58"/>
      <c r="H1083" s="59"/>
      <c r="I1083" s="58" t="e">
        <f>ROUNDDOWN(G1083/H1083,0)</f>
        <v>#DIV/0!</v>
      </c>
      <c r="J1083" s="67"/>
      <c r="K1083" s="68"/>
      <c r="L1083" s="67"/>
    </row>
    <row r="1084" s="37" customFormat="1" ht="12.75" spans="7:12">
      <c r="G1084" s="58"/>
      <c r="H1084" s="59"/>
      <c r="I1084" s="58" t="e">
        <f>ROUNDDOWN(G1084/H1084,0)</f>
        <v>#DIV/0!</v>
      </c>
      <c r="J1084" s="67"/>
      <c r="K1084" s="68"/>
      <c r="L1084" s="67"/>
    </row>
    <row r="1085" s="37" customFormat="1" ht="12.75" spans="7:12">
      <c r="G1085" s="58"/>
      <c r="H1085" s="59"/>
      <c r="I1085" s="58"/>
      <c r="J1085" s="67"/>
      <c r="K1085" s="68"/>
      <c r="L1085" s="67"/>
    </row>
    <row r="1086" s="37" customFormat="1" ht="12.75" spans="7:12">
      <c r="G1086" s="58"/>
      <c r="H1086" s="59"/>
      <c r="I1086" s="58"/>
      <c r="J1086" s="67"/>
      <c r="K1086" s="68"/>
      <c r="L1086" s="67"/>
    </row>
    <row r="1087" s="37" customFormat="1" ht="12.75" spans="7:12">
      <c r="G1087" s="58"/>
      <c r="H1087" s="59"/>
      <c r="I1087" s="58"/>
      <c r="J1087" s="67"/>
      <c r="K1087" s="68"/>
      <c r="L1087" s="67"/>
    </row>
    <row r="1088" s="37" customFormat="1" ht="12.75" spans="7:12">
      <c r="G1088" s="58"/>
      <c r="H1088" s="59"/>
      <c r="I1088" s="58"/>
      <c r="J1088" s="67"/>
      <c r="K1088" s="68"/>
      <c r="L1088" s="67"/>
    </row>
    <row r="1089" s="37" customFormat="1" ht="12.75" spans="7:12">
      <c r="G1089" s="58"/>
      <c r="H1089" s="59"/>
      <c r="I1089" s="58"/>
      <c r="J1089" s="67"/>
      <c r="K1089" s="68"/>
      <c r="L1089" s="67"/>
    </row>
    <row r="1090" s="37" customFormat="1" ht="12.75" spans="7:12">
      <c r="G1090" s="58"/>
      <c r="H1090" s="59"/>
      <c r="I1090" s="58"/>
      <c r="J1090" s="67"/>
      <c r="K1090" s="68"/>
      <c r="L1090" s="67"/>
    </row>
    <row r="1091" s="37" customFormat="1" ht="12.75" spans="7:12">
      <c r="G1091" s="58"/>
      <c r="H1091" s="59"/>
      <c r="I1091" s="58"/>
      <c r="J1091" s="67"/>
      <c r="K1091" s="68"/>
      <c r="L1091" s="67"/>
    </row>
    <row r="1092" s="37" customFormat="1" ht="12.75" spans="7:12">
      <c r="G1092" s="58"/>
      <c r="H1092" s="59"/>
      <c r="I1092" s="58"/>
      <c r="J1092" s="67"/>
      <c r="K1092" s="68"/>
      <c r="L1092" s="67"/>
    </row>
    <row r="1093" s="37" customFormat="1" ht="12.75" spans="7:12">
      <c r="G1093" s="58"/>
      <c r="H1093" s="59"/>
      <c r="I1093" s="58"/>
      <c r="J1093" s="67"/>
      <c r="K1093" s="68"/>
      <c r="L1093" s="67"/>
    </row>
    <row r="1094" s="37" customFormat="1" ht="12.75" spans="7:12">
      <c r="G1094" s="58"/>
      <c r="H1094" s="59"/>
      <c r="I1094" s="58"/>
      <c r="J1094" s="67"/>
      <c r="K1094" s="68"/>
      <c r="L1094" s="67"/>
    </row>
    <row r="1095" s="37" customFormat="1" ht="12.75" spans="7:12">
      <c r="G1095" s="58"/>
      <c r="H1095" s="59"/>
      <c r="I1095" s="58"/>
      <c r="J1095" s="67"/>
      <c r="K1095" s="68"/>
      <c r="L1095" s="67"/>
    </row>
    <row r="1096" s="37" customFormat="1" ht="12.75" spans="7:12">
      <c r="G1096" s="58"/>
      <c r="H1096" s="59"/>
      <c r="I1096" s="58"/>
      <c r="J1096" s="67"/>
      <c r="K1096" s="68"/>
      <c r="L1096" s="67"/>
    </row>
    <row r="1097" s="37" customFormat="1" ht="12.75" spans="7:12">
      <c r="G1097" s="58"/>
      <c r="H1097" s="59"/>
      <c r="I1097" s="58"/>
      <c r="J1097" s="67"/>
      <c r="K1097" s="68"/>
      <c r="L1097" s="67"/>
    </row>
    <row r="1098" s="37" customFormat="1" ht="12.75" spans="7:12">
      <c r="G1098" s="58"/>
      <c r="H1098" s="59"/>
      <c r="I1098" s="58"/>
      <c r="J1098" s="67"/>
      <c r="K1098" s="68"/>
      <c r="L1098" s="67"/>
    </row>
    <row r="1099" s="37" customFormat="1" ht="12.75" spans="7:12">
      <c r="G1099" s="58"/>
      <c r="H1099" s="59"/>
      <c r="I1099" s="58"/>
      <c r="J1099" s="67"/>
      <c r="K1099" s="68"/>
      <c r="L1099" s="67"/>
    </row>
    <row r="1100" s="37" customFormat="1" ht="12.75" spans="7:12">
      <c r="G1100" s="58"/>
      <c r="H1100" s="59"/>
      <c r="I1100" s="58"/>
      <c r="J1100" s="67"/>
      <c r="K1100" s="68"/>
      <c r="L1100" s="67"/>
    </row>
    <row r="1101" s="37" customFormat="1" ht="12.75" spans="7:12">
      <c r="G1101" s="58"/>
      <c r="H1101" s="59"/>
      <c r="I1101" s="58"/>
      <c r="J1101" s="67"/>
      <c r="K1101" s="68"/>
      <c r="L1101" s="67"/>
    </row>
    <row r="1102" s="37" customFormat="1" ht="12.75" spans="7:12">
      <c r="G1102" s="58"/>
      <c r="H1102" s="59"/>
      <c r="I1102" s="58"/>
      <c r="J1102" s="67"/>
      <c r="K1102" s="68"/>
      <c r="L1102" s="67"/>
    </row>
    <row r="1103" s="37" customFormat="1" ht="12.75" spans="7:12">
      <c r="G1103" s="58"/>
      <c r="H1103" s="59"/>
      <c r="I1103" s="58"/>
      <c r="J1103" s="67"/>
      <c r="K1103" s="68"/>
      <c r="L1103" s="67"/>
    </row>
    <row r="1104" s="37" customFormat="1" ht="12.75" spans="7:12">
      <c r="G1104" s="58"/>
      <c r="H1104" s="59"/>
      <c r="I1104" s="58" t="e">
        <f>ROUNDDOWN(G1104/H1104,0)</f>
        <v>#DIV/0!</v>
      </c>
      <c r="J1104" s="67"/>
      <c r="K1104" s="68"/>
      <c r="L1104" s="67"/>
    </row>
    <row r="1105" s="37" customFormat="1" ht="12.75" spans="7:13">
      <c r="G1105" s="58"/>
      <c r="H1105" s="59"/>
      <c r="I1105" s="58" t="e">
        <f>ROUNDDOWN(G1105/H1105,0)</f>
        <v>#DIV/0!</v>
      </c>
      <c r="J1105" s="67"/>
      <c r="K1105" s="68"/>
      <c r="L1105" s="67"/>
    </row>
    <row r="1106" s="37" customFormat="1" ht="12.75" spans="7:13">
      <c r="G1106" s="58"/>
      <c r="H1106" s="59"/>
      <c r="I1106" s="58"/>
      <c r="J1106" s="67"/>
      <c r="K1106" s="68"/>
      <c r="L1106" s="67"/>
    </row>
    <row r="1107" s="37" customFormat="1" ht="12.75" spans="7:13">
      <c r="G1107" s="58"/>
      <c r="H1107" s="59"/>
      <c r="I1107" s="58"/>
      <c r="J1107" s="67"/>
      <c r="K1107" s="68"/>
      <c r="L1107" s="67"/>
    </row>
    <row r="1108" s="37" customFormat="1" ht="12.75" spans="7:13">
      <c r="G1108" s="58"/>
      <c r="H1108" s="59"/>
      <c r="I1108" s="58"/>
      <c r="J1108" s="67"/>
      <c r="K1108" s="68"/>
      <c r="L1108" s="67"/>
    </row>
    <row r="1109" s="37" customFormat="1" ht="12.75" spans="7:13">
      <c r="G1109" s="58"/>
      <c r="H1109" s="59"/>
      <c r="I1109" s="58"/>
      <c r="J1109" s="67"/>
      <c r="K1109" s="68"/>
      <c r="L1109" s="67"/>
    </row>
    <row r="1110" s="37" customFormat="1" ht="12.75" spans="7:13">
      <c r="G1110" s="58"/>
      <c r="H1110" s="59"/>
      <c r="I1110" s="58"/>
      <c r="J1110" s="67"/>
      <c r="K1110" s="68"/>
      <c r="L1110" s="67"/>
    </row>
    <row r="1111" s="37" customFormat="1" ht="12.75" spans="7:13">
      <c r="G1111" s="58"/>
      <c r="H1111" s="59"/>
      <c r="I1111" s="58"/>
      <c r="J1111" s="67"/>
      <c r="K1111" s="68"/>
      <c r="L1111" s="67"/>
    </row>
    <row r="1112" s="37" customFormat="1" ht="12.75" spans="7:13">
      <c r="G1112" s="58"/>
      <c r="H1112" s="59"/>
      <c r="I1112" s="58"/>
      <c r="J1112" s="67"/>
      <c r="K1112" s="68"/>
      <c r="L1112" s="67"/>
    </row>
    <row r="1113" s="37" customFormat="1" ht="12.75" spans="7:13">
      <c r="G1113" s="58"/>
      <c r="H1113" s="59"/>
      <c r="I1113" s="58"/>
      <c r="J1113" s="67"/>
      <c r="K1113" s="68"/>
      <c r="L1113" s="67"/>
      <c r="M1113" s="72"/>
    </row>
    <row r="1114" s="37" customFormat="1" ht="12.75" spans="7:13">
      <c r="G1114" s="58"/>
      <c r="H1114" s="59"/>
      <c r="I1114" s="58"/>
      <c r="J1114" s="67"/>
      <c r="K1114" s="68"/>
      <c r="L1114" s="67"/>
    </row>
    <row r="1115" s="37" customFormat="1" ht="12.75" spans="7:13">
      <c r="G1115" s="58"/>
      <c r="H1115" s="59"/>
      <c r="I1115" s="58"/>
      <c r="J1115" s="67"/>
      <c r="K1115" s="68"/>
      <c r="L1115" s="67"/>
    </row>
    <row r="1116" s="37" customFormat="1" ht="12.75" spans="7:13">
      <c r="G1116" s="58"/>
      <c r="H1116" s="59"/>
      <c r="I1116" s="58"/>
      <c r="J1116" s="67"/>
      <c r="K1116" s="68"/>
      <c r="L1116" s="67"/>
    </row>
    <row r="1117" s="37" customFormat="1" ht="12.75" spans="7:13">
      <c r="G1117" s="58"/>
      <c r="H1117" s="59"/>
      <c r="I1117" s="58"/>
      <c r="J1117" s="67"/>
      <c r="K1117" s="68"/>
      <c r="L1117" s="67"/>
    </row>
    <row r="1118" s="37" customFormat="1" ht="12.75" spans="7:13">
      <c r="G1118" s="58"/>
      <c r="H1118" s="59"/>
      <c r="I1118" s="58"/>
      <c r="J1118" s="67"/>
      <c r="K1118" s="68"/>
      <c r="L1118" s="67"/>
    </row>
    <row r="1119" s="37" customFormat="1" ht="12.75" spans="7:13">
      <c r="G1119" s="58"/>
      <c r="H1119" s="59"/>
      <c r="I1119" s="58"/>
      <c r="J1119" s="67"/>
      <c r="K1119" s="68"/>
      <c r="L1119" s="67"/>
    </row>
    <row r="1120" s="37" customFormat="1" ht="12.75" spans="7:13">
      <c r="G1120" s="58"/>
      <c r="H1120" s="59"/>
      <c r="I1120" s="58"/>
      <c r="J1120" s="67"/>
      <c r="K1120" s="68"/>
      <c r="L1120" s="67"/>
    </row>
    <row r="1121" s="37" customFormat="1" ht="12.75" spans="7:12">
      <c r="G1121" s="58"/>
      <c r="H1121" s="59"/>
      <c r="I1121" s="58"/>
      <c r="J1121" s="67"/>
      <c r="K1121" s="68"/>
      <c r="L1121" s="67"/>
    </row>
    <row r="1122" s="37" customFormat="1" ht="12.75" spans="7:12">
      <c r="G1122" s="58"/>
      <c r="H1122" s="59"/>
      <c r="I1122" s="58"/>
      <c r="J1122" s="67"/>
      <c r="K1122" s="68"/>
      <c r="L1122" s="67"/>
    </row>
    <row r="1123" s="37" customFormat="1" ht="12.75" spans="7:12">
      <c r="G1123" s="58"/>
      <c r="H1123" s="59"/>
      <c r="I1123" s="58"/>
      <c r="J1123" s="67"/>
      <c r="K1123" s="68"/>
      <c r="L1123" s="67"/>
    </row>
    <row r="1124" s="37" customFormat="1" ht="12.75" spans="7:12">
      <c r="G1124" s="58"/>
      <c r="H1124" s="59"/>
      <c r="I1124" s="58" t="e">
        <f>ROUNDDOWN(G1124/H1124,0)</f>
        <v>#DIV/0!</v>
      </c>
      <c r="J1124" s="67"/>
      <c r="K1124" s="68"/>
      <c r="L1124" s="67"/>
    </row>
    <row r="1125" s="37" customFormat="1" ht="12.75" spans="7:12">
      <c r="G1125" s="58"/>
      <c r="H1125" s="59"/>
      <c r="I1125" s="58" t="e">
        <f>ROUNDDOWN(G1125/H1125,0)</f>
        <v>#DIV/0!</v>
      </c>
      <c r="J1125" s="67"/>
      <c r="K1125" s="68"/>
      <c r="L1125" s="67"/>
    </row>
    <row r="1126" s="37" customFormat="1" ht="12.75" spans="7:12">
      <c r="G1126" s="58"/>
      <c r="H1126" s="59"/>
      <c r="I1126" s="58"/>
      <c r="J1126" s="67"/>
      <c r="K1126" s="68"/>
      <c r="L1126" s="67"/>
    </row>
    <row r="1127" s="37" customFormat="1" ht="12.75" spans="7:12">
      <c r="G1127" s="58"/>
      <c r="H1127" s="59"/>
      <c r="I1127" s="58"/>
      <c r="J1127" s="67"/>
      <c r="K1127" s="68"/>
      <c r="L1127" s="67"/>
    </row>
    <row r="1128" s="37" customFormat="1" ht="12.75" spans="7:12">
      <c r="G1128" s="58"/>
      <c r="H1128" s="59"/>
      <c r="I1128" s="58"/>
      <c r="J1128" s="67"/>
      <c r="K1128" s="68"/>
      <c r="L1128" s="67"/>
    </row>
    <row r="1129" s="37" customFormat="1" ht="12.75" spans="7:12">
      <c r="G1129" s="58"/>
      <c r="H1129" s="59"/>
      <c r="I1129" s="58"/>
      <c r="J1129" s="67"/>
      <c r="K1129" s="68"/>
      <c r="L1129" s="67"/>
    </row>
    <row r="1130" s="37" customFormat="1" ht="12.75" spans="7:12">
      <c r="G1130" s="58"/>
      <c r="H1130" s="59"/>
      <c r="I1130" s="58"/>
      <c r="J1130" s="67"/>
      <c r="K1130" s="68"/>
      <c r="L1130" s="67"/>
    </row>
    <row r="1131" s="37" customFormat="1" ht="12.75" spans="7:12">
      <c r="G1131" s="58"/>
      <c r="H1131" s="59"/>
      <c r="I1131" s="58"/>
      <c r="J1131" s="67"/>
      <c r="K1131" s="68"/>
      <c r="L1131" s="67"/>
    </row>
    <row r="1132" s="37" customFormat="1" ht="12.75" spans="7:12">
      <c r="G1132" s="58"/>
      <c r="H1132" s="59"/>
      <c r="I1132" s="58"/>
      <c r="J1132" s="67"/>
      <c r="K1132" s="68"/>
      <c r="L1132" s="67"/>
    </row>
    <row r="1133" s="37" customFormat="1" ht="12.75" spans="7:12">
      <c r="G1133" s="58"/>
      <c r="H1133" s="59"/>
      <c r="I1133" s="58"/>
      <c r="J1133" s="67"/>
      <c r="K1133" s="68"/>
      <c r="L1133" s="67"/>
    </row>
    <row r="1134" s="37" customFormat="1" ht="12.75" spans="7:12">
      <c r="G1134" s="58"/>
      <c r="H1134" s="59"/>
      <c r="I1134" s="58"/>
      <c r="J1134" s="67"/>
      <c r="K1134" s="68"/>
      <c r="L1134" s="67"/>
    </row>
    <row r="1135" s="37" customFormat="1" ht="12.75" spans="7:12">
      <c r="G1135" s="58"/>
      <c r="H1135" s="59"/>
      <c r="I1135" s="58"/>
      <c r="J1135" s="67"/>
      <c r="K1135" s="68"/>
      <c r="L1135" s="67"/>
    </row>
    <row r="1136" s="37" customFormat="1" ht="12.75" spans="7:12">
      <c r="G1136" s="58"/>
      <c r="H1136" s="59"/>
      <c r="I1136" s="58"/>
      <c r="J1136" s="67"/>
      <c r="K1136" s="68"/>
      <c r="L1136" s="67"/>
    </row>
    <row r="1137" s="37" customFormat="1" ht="12.75" spans="7:12">
      <c r="G1137" s="58"/>
      <c r="H1137" s="59"/>
      <c r="I1137" s="58"/>
      <c r="J1137" s="67"/>
      <c r="K1137" s="68"/>
      <c r="L1137" s="67"/>
    </row>
    <row r="1138" s="37" customFormat="1" ht="12.75" spans="7:12">
      <c r="G1138" s="58"/>
      <c r="H1138" s="59"/>
      <c r="I1138" s="58"/>
      <c r="J1138" s="67"/>
      <c r="K1138" s="68"/>
      <c r="L1138" s="67"/>
    </row>
    <row r="1139" s="37" customFormat="1" ht="12.75" spans="7:12">
      <c r="G1139" s="58"/>
      <c r="H1139" s="59"/>
      <c r="I1139" s="58"/>
      <c r="J1139" s="67"/>
      <c r="K1139" s="68"/>
      <c r="L1139" s="67"/>
    </row>
    <row r="1140" s="37" customFormat="1" ht="12.75" spans="7:12">
      <c r="G1140" s="58"/>
      <c r="H1140" s="59"/>
      <c r="I1140" s="58"/>
      <c r="J1140" s="67"/>
      <c r="K1140" s="68"/>
      <c r="L1140" s="67"/>
    </row>
    <row r="1141" s="37" customFormat="1" ht="12.75" spans="7:12">
      <c r="G1141" s="58"/>
      <c r="H1141" s="59"/>
      <c r="I1141" s="58"/>
      <c r="J1141" s="67"/>
      <c r="K1141" s="68"/>
      <c r="L1141" s="67"/>
    </row>
    <row r="1142" s="37" customFormat="1" ht="12.75" spans="7:12">
      <c r="G1142" s="58"/>
      <c r="H1142" s="59"/>
      <c r="I1142" s="58"/>
      <c r="J1142" s="67"/>
      <c r="K1142" s="68"/>
      <c r="L1142" s="67"/>
    </row>
    <row r="1143" s="37" customFormat="1" ht="12.75" spans="7:12">
      <c r="G1143" s="58"/>
      <c r="H1143" s="59"/>
      <c r="I1143" s="58"/>
      <c r="J1143" s="67"/>
      <c r="K1143" s="68"/>
      <c r="L1143" s="67"/>
    </row>
    <row r="1144" s="37" customFormat="1" ht="12.75" spans="7:12">
      <c r="G1144" s="58"/>
      <c r="H1144" s="59"/>
      <c r="I1144" s="58" t="e">
        <f>ROUNDDOWN(G1144/H1144,0)</f>
        <v>#DIV/0!</v>
      </c>
      <c r="J1144" s="67"/>
      <c r="K1144" s="68"/>
      <c r="L1144" s="67"/>
    </row>
    <row r="1145" s="37" customFormat="1" ht="12.75" spans="7:12">
      <c r="G1145" s="58"/>
      <c r="H1145" s="59"/>
      <c r="I1145" s="58" t="e">
        <f>ROUNDDOWN(G1145/H1145,0)</f>
        <v>#DIV/0!</v>
      </c>
      <c r="J1145" s="67"/>
      <c r="K1145" s="68"/>
      <c r="L1145" s="67"/>
    </row>
    <row r="1146" s="37" customFormat="1" ht="12.75" spans="7:12">
      <c r="G1146" s="58"/>
      <c r="H1146" s="59"/>
      <c r="I1146" s="58"/>
      <c r="J1146" s="67"/>
      <c r="K1146" s="68"/>
      <c r="L1146" s="67"/>
    </row>
    <row r="1147" s="37" customFormat="1" ht="12.75" spans="7:12">
      <c r="G1147" s="58"/>
      <c r="H1147" s="59"/>
      <c r="I1147" s="58"/>
      <c r="J1147" s="67"/>
      <c r="K1147" s="68"/>
      <c r="L1147" s="67"/>
    </row>
    <row r="1148" s="37" customFormat="1" ht="12.75" spans="7:12">
      <c r="G1148" s="58"/>
      <c r="H1148" s="59"/>
      <c r="I1148" s="58"/>
      <c r="J1148" s="67"/>
      <c r="K1148" s="68"/>
      <c r="L1148" s="67"/>
    </row>
    <row r="1149" s="37" customFormat="1" ht="12.75" spans="7:12">
      <c r="G1149" s="58"/>
      <c r="H1149" s="59"/>
      <c r="I1149" s="58"/>
      <c r="J1149" s="67"/>
      <c r="K1149" s="68"/>
      <c r="L1149" s="67"/>
    </row>
    <row r="1150" s="37" customFormat="1" ht="12.75" spans="7:12">
      <c r="G1150" s="58"/>
      <c r="H1150" s="59"/>
      <c r="I1150" s="58"/>
      <c r="J1150" s="67"/>
      <c r="K1150" s="68"/>
      <c r="L1150" s="67"/>
    </row>
    <row r="1151" s="37" customFormat="1" ht="12.75" spans="7:12">
      <c r="G1151" s="58"/>
      <c r="H1151" s="59"/>
      <c r="I1151" s="58"/>
      <c r="J1151" s="67"/>
      <c r="K1151" s="68"/>
      <c r="L1151" s="67"/>
    </row>
    <row r="1152" s="37" customFormat="1" ht="12.75" spans="7:12">
      <c r="G1152" s="58"/>
      <c r="H1152" s="59"/>
      <c r="I1152" s="58"/>
      <c r="J1152" s="67"/>
      <c r="K1152" s="68"/>
      <c r="L1152" s="67"/>
    </row>
    <row r="1153" s="37" customFormat="1" ht="12.75" spans="7:12">
      <c r="G1153" s="58"/>
      <c r="H1153" s="59"/>
      <c r="I1153" s="58"/>
      <c r="J1153" s="67"/>
      <c r="K1153" s="68"/>
      <c r="L1153" s="67"/>
    </row>
    <row r="1154" s="37" customFormat="1" ht="12.75" spans="7:12">
      <c r="G1154" s="58"/>
      <c r="H1154" s="59"/>
      <c r="I1154" s="58"/>
      <c r="J1154" s="67"/>
      <c r="K1154" s="68"/>
      <c r="L1154" s="67"/>
    </row>
    <row r="1155" s="37" customFormat="1" ht="12.75" spans="7:12">
      <c r="G1155" s="58"/>
      <c r="H1155" s="59"/>
      <c r="I1155" s="58"/>
      <c r="J1155" s="67"/>
      <c r="K1155" s="68"/>
      <c r="L1155" s="67"/>
    </row>
    <row r="1156" s="37" customFormat="1" ht="12.75" spans="7:12">
      <c r="G1156" s="58"/>
      <c r="H1156" s="59"/>
      <c r="I1156" s="58"/>
      <c r="J1156" s="67"/>
      <c r="K1156" s="68"/>
      <c r="L1156" s="67"/>
    </row>
    <row r="1157" s="37" customFormat="1" ht="12.75" spans="7:12">
      <c r="G1157" s="58"/>
      <c r="H1157" s="59"/>
      <c r="I1157" s="58"/>
      <c r="J1157" s="67"/>
      <c r="K1157" s="68"/>
      <c r="L1157" s="67"/>
    </row>
    <row r="1158" s="37" customFormat="1" ht="12.75" spans="7:12">
      <c r="G1158" s="58"/>
      <c r="H1158" s="59"/>
      <c r="I1158" s="58"/>
      <c r="J1158" s="67"/>
      <c r="K1158" s="68"/>
      <c r="L1158" s="67"/>
    </row>
    <row r="1159" s="37" customFormat="1" ht="12.75" spans="7:12">
      <c r="G1159" s="58"/>
      <c r="H1159" s="59"/>
      <c r="I1159" s="58"/>
      <c r="J1159" s="67"/>
      <c r="K1159" s="68"/>
      <c r="L1159" s="67"/>
    </row>
    <row r="1160" s="37" customFormat="1" ht="12.75" spans="7:12">
      <c r="G1160" s="58"/>
      <c r="H1160" s="59"/>
      <c r="I1160" s="58"/>
      <c r="J1160" s="67"/>
      <c r="K1160" s="68"/>
      <c r="L1160" s="67"/>
    </row>
    <row r="1161" s="37" customFormat="1" ht="12.75" spans="7:12">
      <c r="G1161" s="58"/>
      <c r="H1161" s="59"/>
      <c r="I1161" s="58"/>
      <c r="J1161" s="67"/>
      <c r="K1161" s="68"/>
      <c r="L1161" s="67"/>
    </row>
    <row r="1162" s="37" customFormat="1" ht="12.75" spans="7:12">
      <c r="G1162" s="58"/>
      <c r="H1162" s="59"/>
      <c r="I1162" s="58"/>
      <c r="J1162" s="67"/>
      <c r="K1162" s="68"/>
      <c r="L1162" s="67"/>
    </row>
    <row r="1163" s="37" customFormat="1" ht="12.75" spans="7:12">
      <c r="G1163" s="58"/>
      <c r="H1163" s="59"/>
      <c r="I1163" s="58"/>
      <c r="J1163" s="67"/>
      <c r="K1163" s="68"/>
      <c r="L1163" s="67"/>
    </row>
    <row r="1164" s="37" customFormat="1" ht="12.75" spans="7:12">
      <c r="G1164" s="58"/>
      <c r="H1164" s="59"/>
      <c r="I1164" s="58"/>
      <c r="J1164" s="67"/>
      <c r="K1164" s="68"/>
      <c r="L1164" s="67"/>
    </row>
    <row r="1165" s="37" customFormat="1" ht="12.75" spans="7:12">
      <c r="G1165" s="58"/>
      <c r="H1165" s="59"/>
      <c r="I1165" s="58" t="e">
        <f>ROUNDDOWN(G1165/H1165,0)</f>
        <v>#DIV/0!</v>
      </c>
      <c r="J1165" s="67"/>
      <c r="K1165" s="68"/>
      <c r="L1165" s="67"/>
    </row>
    <row r="1166" s="37" customFormat="1" ht="12.75" spans="7:12">
      <c r="G1166" s="58"/>
      <c r="H1166" s="59"/>
      <c r="I1166" s="58" t="e">
        <f>ROUNDDOWN(G1166/H1166,0)</f>
        <v>#DIV/0!</v>
      </c>
      <c r="J1166" s="67"/>
      <c r="K1166" s="68"/>
      <c r="L1166" s="67"/>
    </row>
    <row r="1167" s="37" customFormat="1" ht="12.75" spans="7:12">
      <c r="G1167" s="58"/>
      <c r="H1167" s="59"/>
      <c r="I1167" s="58"/>
      <c r="J1167" s="67"/>
      <c r="K1167" s="68"/>
      <c r="L1167" s="67"/>
    </row>
    <row r="1168" s="37" customFormat="1" ht="12.75" spans="7:12">
      <c r="G1168" s="58"/>
      <c r="H1168" s="59"/>
      <c r="I1168" s="58"/>
      <c r="J1168" s="67"/>
      <c r="K1168" s="68"/>
      <c r="L1168" s="67"/>
    </row>
    <row r="1169" s="37" customFormat="1" ht="12.75" spans="7:13">
      <c r="G1169" s="58"/>
      <c r="H1169" s="59"/>
      <c r="I1169" s="58"/>
      <c r="J1169" s="67"/>
      <c r="K1169" s="68"/>
      <c r="L1169" s="67"/>
    </row>
    <row r="1170" s="37" customFormat="1" ht="12.75" spans="7:13">
      <c r="G1170" s="58"/>
      <c r="H1170" s="59"/>
      <c r="I1170" s="58"/>
      <c r="J1170" s="67"/>
      <c r="K1170" s="68"/>
      <c r="L1170" s="67"/>
    </row>
    <row r="1171" s="37" customFormat="1" ht="12.75" spans="7:13">
      <c r="G1171" s="58"/>
      <c r="H1171" s="59"/>
      <c r="I1171" s="58"/>
      <c r="J1171" s="67"/>
      <c r="K1171" s="68"/>
      <c r="L1171" s="67"/>
    </row>
    <row r="1172" s="37" customFormat="1" ht="12.75" spans="7:13">
      <c r="G1172" s="58"/>
      <c r="H1172" s="59"/>
      <c r="I1172" s="58"/>
      <c r="J1172" s="67"/>
      <c r="K1172" s="68"/>
      <c r="L1172" s="67"/>
    </row>
    <row r="1173" s="37" customFormat="1" ht="12.75" spans="7:13">
      <c r="G1173" s="58"/>
      <c r="H1173" s="59"/>
      <c r="I1173" s="58"/>
      <c r="J1173" s="67"/>
      <c r="K1173" s="68"/>
      <c r="L1173" s="67"/>
    </row>
    <row r="1174" s="37" customFormat="1" ht="12.75" spans="7:13">
      <c r="G1174" s="58"/>
      <c r="H1174" s="59"/>
      <c r="I1174" s="58"/>
      <c r="J1174" s="67"/>
      <c r="K1174" s="68"/>
      <c r="L1174" s="67"/>
    </row>
    <row r="1175" s="37" customFormat="1" ht="12.75" spans="7:13">
      <c r="G1175" s="58"/>
      <c r="H1175" s="59"/>
      <c r="I1175" s="58"/>
      <c r="J1175" s="67"/>
      <c r="K1175" s="68"/>
      <c r="L1175" s="67"/>
      <c r="M1175" s="73"/>
    </row>
    <row r="1176" s="37" customFormat="1" ht="12.75" spans="7:13">
      <c r="G1176" s="58"/>
      <c r="H1176" s="59"/>
      <c r="I1176" s="58"/>
      <c r="J1176" s="67"/>
      <c r="K1176" s="68"/>
      <c r="L1176" s="67"/>
    </row>
    <row r="1177" s="37" customFormat="1" ht="12.75" spans="7:13">
      <c r="G1177" s="58"/>
      <c r="H1177" s="59"/>
      <c r="I1177" s="58"/>
      <c r="J1177" s="67"/>
      <c r="K1177" s="68"/>
      <c r="L1177" s="67"/>
    </row>
    <row r="1178" s="37" customFormat="1" ht="12.75" spans="7:13">
      <c r="G1178" s="58"/>
      <c r="H1178" s="59"/>
      <c r="I1178" s="58"/>
      <c r="J1178" s="67"/>
      <c r="K1178" s="68"/>
      <c r="L1178" s="67"/>
    </row>
    <row r="1179" s="37" customFormat="1" ht="12.75" spans="7:13">
      <c r="G1179" s="58"/>
      <c r="H1179" s="59"/>
      <c r="I1179" s="58"/>
      <c r="J1179" s="67"/>
      <c r="K1179" s="68"/>
      <c r="L1179" s="67"/>
    </row>
    <row r="1180" s="37" customFormat="1" ht="12.75" spans="7:13">
      <c r="G1180" s="58"/>
      <c r="H1180" s="59"/>
      <c r="I1180" s="58"/>
      <c r="J1180" s="67"/>
      <c r="K1180" s="68"/>
      <c r="L1180" s="67"/>
      <c r="M1180" s="72"/>
    </row>
    <row r="1181" s="37" customFormat="1" ht="12.75" spans="7:13">
      <c r="G1181" s="58"/>
      <c r="H1181" s="59"/>
      <c r="I1181" s="58"/>
      <c r="J1181" s="67"/>
      <c r="K1181" s="68"/>
      <c r="L1181" s="67"/>
    </row>
    <row r="1182" s="37" customFormat="1" ht="12.75" spans="7:13">
      <c r="G1182" s="58"/>
      <c r="H1182" s="59"/>
      <c r="I1182" s="58" t="e">
        <f>ROUNDDOWN(G1182/H1182,0)</f>
        <v>#DIV/0!</v>
      </c>
      <c r="J1182" s="67"/>
      <c r="K1182" s="68"/>
      <c r="L1182" s="67"/>
    </row>
    <row r="1183" s="37" customFormat="1" ht="12.75" spans="7:13">
      <c r="G1183" s="58"/>
      <c r="H1183" s="59"/>
      <c r="I1183" s="58" t="e">
        <f>ROUNDDOWN(G1183/H1183,0)</f>
        <v>#DIV/0!</v>
      </c>
      <c r="J1183" s="67"/>
      <c r="K1183" s="68"/>
      <c r="L1183" s="67"/>
    </row>
    <row r="1184" s="37" customFormat="1" ht="12.75" spans="7:13">
      <c r="G1184" s="58"/>
      <c r="H1184" s="59"/>
      <c r="I1184" s="58"/>
      <c r="J1184" s="67"/>
      <c r="K1184" s="68"/>
      <c r="L1184" s="67"/>
    </row>
    <row r="1185" s="37" customFormat="1" ht="12.75" spans="7:12">
      <c r="G1185" s="58"/>
      <c r="H1185" s="59"/>
      <c r="I1185" s="58"/>
      <c r="J1185" s="67"/>
      <c r="K1185" s="68"/>
      <c r="L1185" s="67"/>
    </row>
    <row r="1186" s="37" customFormat="1" ht="12.75" spans="7:12">
      <c r="G1186" s="58"/>
      <c r="H1186" s="59"/>
      <c r="I1186" s="58"/>
      <c r="J1186" s="67"/>
      <c r="K1186" s="68"/>
      <c r="L1186" s="67"/>
    </row>
    <row r="1187" s="37" customFormat="1" ht="12.75" spans="7:12">
      <c r="G1187" s="58"/>
      <c r="H1187" s="59"/>
      <c r="I1187" s="58"/>
      <c r="J1187" s="67"/>
      <c r="K1187" s="68"/>
      <c r="L1187" s="67"/>
    </row>
    <row r="1188" s="37" customFormat="1" ht="12.75" spans="7:12">
      <c r="G1188" s="58"/>
      <c r="H1188" s="59"/>
      <c r="I1188" s="58"/>
      <c r="J1188" s="67"/>
      <c r="K1188" s="68"/>
      <c r="L1188" s="67"/>
    </row>
    <row r="1189" s="37" customFormat="1" ht="12.75" spans="7:12">
      <c r="G1189" s="58"/>
      <c r="H1189" s="59"/>
      <c r="I1189" s="58"/>
      <c r="J1189" s="67"/>
      <c r="K1189" s="68"/>
      <c r="L1189" s="67"/>
    </row>
    <row r="1190" s="37" customFormat="1" ht="12.75" spans="7:12">
      <c r="G1190" s="58"/>
      <c r="H1190" s="59"/>
      <c r="I1190" s="58"/>
      <c r="J1190" s="67"/>
      <c r="K1190" s="68"/>
      <c r="L1190" s="67"/>
    </row>
    <row r="1191" s="37" customFormat="1" ht="12.75" spans="7:12">
      <c r="G1191" s="58"/>
      <c r="H1191" s="59"/>
      <c r="I1191" s="58"/>
      <c r="J1191" s="67"/>
      <c r="K1191" s="68"/>
      <c r="L1191" s="67"/>
    </row>
    <row r="1192" s="37" customFormat="1" ht="12.75" spans="7:12">
      <c r="G1192" s="58"/>
      <c r="H1192" s="59"/>
      <c r="I1192" s="58"/>
      <c r="J1192" s="67"/>
      <c r="K1192" s="68"/>
      <c r="L1192" s="67"/>
    </row>
    <row r="1193" s="37" customFormat="1" ht="12.75" spans="7:12">
      <c r="G1193" s="58"/>
      <c r="H1193" s="59"/>
      <c r="I1193" s="58"/>
      <c r="J1193" s="67"/>
      <c r="K1193" s="68"/>
      <c r="L1193" s="67"/>
    </row>
    <row r="1194" s="37" customFormat="1" ht="12.75" spans="7:12">
      <c r="G1194" s="58"/>
      <c r="H1194" s="59"/>
      <c r="I1194" s="58"/>
      <c r="J1194" s="67"/>
      <c r="K1194" s="68"/>
      <c r="L1194" s="67"/>
    </row>
    <row r="1195" s="37" customFormat="1" ht="12.75" spans="7:12">
      <c r="G1195" s="58"/>
      <c r="H1195" s="59"/>
      <c r="I1195" s="58" t="e">
        <f>ROUNDDOWN(G1195/H1195,0)</f>
        <v>#DIV/0!</v>
      </c>
      <c r="J1195" s="67"/>
      <c r="K1195" s="68"/>
      <c r="L1195" s="67"/>
    </row>
    <row r="1196" s="37" customFormat="1" ht="12.75" spans="7:12">
      <c r="G1196" s="58"/>
      <c r="H1196" s="59"/>
      <c r="I1196" s="58" t="e">
        <f>ROUNDDOWN(G1196/H1196,0)</f>
        <v>#DIV/0!</v>
      </c>
      <c r="J1196" s="67"/>
      <c r="K1196" s="68"/>
      <c r="L1196" s="67"/>
    </row>
    <row r="1197" s="37" customFormat="1" ht="12.75" spans="7:12">
      <c r="G1197" s="58"/>
      <c r="H1197" s="59"/>
      <c r="I1197" s="58"/>
      <c r="J1197" s="67"/>
      <c r="K1197" s="68"/>
      <c r="L1197" s="67"/>
    </row>
    <row r="1198" s="37" customFormat="1" ht="12.75" spans="7:12">
      <c r="G1198" s="58"/>
      <c r="H1198" s="59"/>
      <c r="I1198" s="58"/>
      <c r="J1198" s="67"/>
      <c r="K1198" s="68"/>
      <c r="L1198" s="67"/>
    </row>
    <row r="1199" s="37" customFormat="1" ht="12.75" spans="7:12">
      <c r="G1199" s="58"/>
      <c r="H1199" s="59"/>
      <c r="I1199" s="58"/>
      <c r="J1199" s="67"/>
      <c r="K1199" s="68"/>
      <c r="L1199" s="67"/>
    </row>
    <row r="1200" s="37" customFormat="1" ht="12.75" spans="7:12">
      <c r="G1200" s="58"/>
      <c r="H1200" s="59"/>
      <c r="I1200" s="58"/>
      <c r="J1200" s="67"/>
      <c r="K1200" s="68"/>
      <c r="L1200" s="67"/>
    </row>
    <row r="1201" s="37" customFormat="1" ht="12.75" spans="7:13">
      <c r="G1201" s="58"/>
      <c r="H1201" s="59"/>
      <c r="I1201" s="58"/>
      <c r="J1201" s="67"/>
      <c r="K1201" s="68"/>
      <c r="L1201" s="67"/>
    </row>
    <row r="1202" s="37" customFormat="1" ht="12.75" spans="7:13">
      <c r="G1202" s="58"/>
      <c r="H1202" s="59"/>
      <c r="I1202" s="58"/>
      <c r="J1202" s="67"/>
      <c r="K1202" s="68"/>
      <c r="L1202" s="67"/>
    </row>
    <row r="1203" s="37" customFormat="1" ht="12.75" spans="7:13">
      <c r="G1203" s="58"/>
      <c r="H1203" s="59"/>
      <c r="I1203" s="58"/>
      <c r="J1203" s="67"/>
      <c r="K1203" s="68"/>
      <c r="L1203" s="67"/>
    </row>
    <row r="1204" s="37" customFormat="1" ht="12.75" spans="7:13">
      <c r="G1204" s="58"/>
      <c r="H1204" s="59"/>
      <c r="I1204" s="58"/>
      <c r="J1204" s="67"/>
      <c r="K1204" s="68"/>
      <c r="L1204" s="67"/>
    </row>
    <row r="1205" s="37" customFormat="1" ht="12.75" spans="7:13">
      <c r="G1205" s="58"/>
      <c r="H1205" s="59"/>
      <c r="I1205" s="58"/>
      <c r="J1205" s="67"/>
      <c r="K1205" s="68"/>
      <c r="L1205" s="67"/>
    </row>
    <row r="1206" s="37" customFormat="1" ht="12.75" spans="7:13">
      <c r="G1206" s="58"/>
      <c r="H1206" s="59"/>
      <c r="I1206" s="58"/>
      <c r="J1206" s="67"/>
      <c r="K1206" s="68"/>
      <c r="L1206" s="67"/>
    </row>
    <row r="1207" s="37" customFormat="1" ht="12.75" spans="7:13">
      <c r="G1207" s="58"/>
      <c r="H1207" s="59"/>
      <c r="I1207" s="58"/>
      <c r="J1207" s="67"/>
      <c r="K1207" s="68"/>
      <c r="L1207" s="67"/>
    </row>
    <row r="1208" s="37" customFormat="1" ht="12.75" spans="7:13">
      <c r="G1208" s="58"/>
      <c r="H1208" s="59"/>
      <c r="I1208" s="58" t="e">
        <f>ROUNDDOWN(G1208/H1208,0)</f>
        <v>#DIV/0!</v>
      </c>
      <c r="J1208" s="67"/>
      <c r="K1208" s="68"/>
      <c r="L1208" s="67"/>
    </row>
    <row r="1209" s="37" customFormat="1" ht="12.75" spans="7:13">
      <c r="G1209" s="58"/>
      <c r="H1209" s="59"/>
      <c r="I1209" s="58" t="e">
        <f>ROUNDDOWN(G1209/H1209,0)</f>
        <v>#DIV/0!</v>
      </c>
      <c r="J1209" s="67"/>
      <c r="K1209" s="68"/>
      <c r="L1209" s="67"/>
    </row>
    <row r="1210" s="37" customFormat="1" ht="12.75" spans="7:13">
      <c r="G1210" s="58"/>
      <c r="H1210" s="59"/>
      <c r="I1210" s="58"/>
      <c r="J1210" s="67"/>
      <c r="K1210" s="68"/>
      <c r="L1210" s="67"/>
      <c r="M1210" s="72"/>
    </row>
    <row r="1211" s="37" customFormat="1" ht="14.1" customHeight="1" spans="7:13">
      <c r="G1211" s="58"/>
      <c r="H1211" s="59"/>
      <c r="I1211" s="58"/>
      <c r="J1211" s="67"/>
      <c r="K1211" s="68"/>
      <c r="L1211" s="67"/>
    </row>
    <row r="1212" s="37" customFormat="1" ht="12.75" spans="7:13">
      <c r="G1212" s="58"/>
      <c r="H1212" s="59"/>
      <c r="I1212" s="58"/>
      <c r="J1212" s="67"/>
      <c r="K1212" s="68"/>
      <c r="L1212" s="67"/>
    </row>
    <row r="1213" s="37" customFormat="1" ht="12.75" spans="7:13">
      <c r="G1213" s="58"/>
      <c r="H1213" s="59"/>
      <c r="I1213" s="58"/>
      <c r="J1213" s="67"/>
      <c r="K1213" s="68"/>
      <c r="L1213" s="67"/>
    </row>
    <row r="1214" s="37" customFormat="1" ht="12.75" spans="7:13">
      <c r="G1214" s="58"/>
      <c r="H1214" s="59"/>
      <c r="I1214" s="58"/>
      <c r="J1214" s="67"/>
      <c r="K1214" s="68"/>
      <c r="L1214" s="67"/>
    </row>
    <row r="1215" s="37" customFormat="1" ht="12.75" spans="7:13">
      <c r="G1215" s="58"/>
      <c r="H1215" s="59"/>
      <c r="I1215" s="58"/>
      <c r="J1215" s="67"/>
      <c r="K1215" s="68"/>
      <c r="L1215" s="67"/>
    </row>
    <row r="1216" s="37" customFormat="1" ht="12.75" spans="7:13">
      <c r="G1216" s="58"/>
      <c r="H1216" s="59"/>
      <c r="I1216" s="58"/>
      <c r="J1216" s="67"/>
      <c r="K1216" s="68"/>
      <c r="L1216" s="67"/>
    </row>
    <row r="1217" s="37" customFormat="1" ht="12.75" spans="7:12">
      <c r="G1217" s="58"/>
      <c r="H1217" s="59"/>
      <c r="I1217" s="58"/>
      <c r="J1217" s="67"/>
      <c r="K1217" s="68"/>
      <c r="L1217" s="67"/>
    </row>
    <row r="1218" s="37" customFormat="1" ht="12.75" spans="7:12">
      <c r="G1218" s="58"/>
      <c r="H1218" s="59"/>
      <c r="I1218" s="58"/>
      <c r="J1218" s="67"/>
      <c r="K1218" s="68"/>
      <c r="L1218" s="67"/>
    </row>
    <row r="1219" s="37" customFormat="1" ht="12.75" spans="7:12">
      <c r="G1219" s="58"/>
      <c r="H1219" s="59"/>
      <c r="I1219" s="58"/>
      <c r="J1219" s="67"/>
      <c r="K1219" s="68"/>
      <c r="L1219" s="67"/>
    </row>
    <row r="1220" s="37" customFormat="1" ht="12.75" spans="7:12">
      <c r="G1220" s="58"/>
      <c r="H1220" s="59"/>
      <c r="I1220" s="58"/>
      <c r="J1220" s="67"/>
      <c r="K1220" s="68"/>
      <c r="L1220" s="67"/>
    </row>
    <row r="1221" s="37" customFormat="1" ht="12.75" spans="7:12">
      <c r="G1221" s="58"/>
      <c r="H1221" s="59"/>
      <c r="I1221" s="58"/>
      <c r="J1221" s="67"/>
      <c r="K1221" s="68"/>
      <c r="L1221" s="67"/>
    </row>
    <row r="1222" s="37" customFormat="1" ht="12.75" spans="7:12">
      <c r="G1222" s="58"/>
      <c r="H1222" s="59"/>
      <c r="I1222" s="58"/>
      <c r="J1222" s="67"/>
      <c r="K1222" s="68"/>
      <c r="L1222" s="67"/>
    </row>
    <row r="1223" s="37" customFormat="1" ht="12.75" spans="7:12">
      <c r="G1223" s="58"/>
      <c r="H1223" s="59"/>
      <c r="I1223" s="58"/>
      <c r="J1223" s="67"/>
      <c r="K1223" s="68"/>
      <c r="L1223" s="67"/>
    </row>
    <row r="1224" s="37" customFormat="1" ht="12.75" spans="7:12">
      <c r="G1224" s="58"/>
      <c r="H1224" s="59"/>
      <c r="I1224" s="58" t="e">
        <f>ROUNDDOWN(G1224/H1224,0)</f>
        <v>#DIV/0!</v>
      </c>
      <c r="J1224" s="67"/>
      <c r="K1224" s="68"/>
      <c r="L1224" s="67"/>
    </row>
    <row r="1225" s="37" customFormat="1" ht="12.75" spans="7:12">
      <c r="G1225" s="58"/>
      <c r="H1225" s="59"/>
      <c r="I1225" s="58"/>
      <c r="J1225" s="67"/>
      <c r="K1225" s="68"/>
      <c r="L1225" s="67"/>
    </row>
    <row r="1226" s="37" customFormat="1" ht="12.75" spans="7:12">
      <c r="G1226" s="58"/>
      <c r="H1226" s="59"/>
      <c r="I1226" s="58"/>
      <c r="J1226" s="67"/>
      <c r="K1226" s="68"/>
      <c r="L1226" s="67"/>
    </row>
    <row r="1227" s="37" customFormat="1" ht="12.75" spans="7:12">
      <c r="G1227" s="58"/>
      <c r="H1227" s="59"/>
      <c r="I1227" s="58"/>
      <c r="J1227" s="67"/>
      <c r="K1227" s="68"/>
      <c r="L1227" s="67"/>
    </row>
    <row r="1228" s="37" customFormat="1" ht="12.75" spans="7:12">
      <c r="G1228" s="58"/>
      <c r="H1228" s="59"/>
      <c r="I1228" s="58"/>
      <c r="J1228" s="67"/>
      <c r="K1228" s="68"/>
      <c r="L1228" s="67"/>
    </row>
    <row r="1229" s="37" customFormat="1" ht="12.75" spans="7:12">
      <c r="G1229" s="58"/>
      <c r="H1229" s="59"/>
      <c r="I1229" s="58"/>
      <c r="J1229" s="67"/>
      <c r="K1229" s="68"/>
      <c r="L1229" s="67"/>
    </row>
    <row r="1230" s="37" customFormat="1" ht="12.75" spans="7:12">
      <c r="G1230" s="58"/>
      <c r="H1230" s="59"/>
      <c r="I1230" s="58"/>
      <c r="J1230" s="67"/>
      <c r="K1230" s="68"/>
      <c r="L1230" s="67"/>
    </row>
    <row r="1231" s="37" customFormat="1" ht="12.75" spans="7:12">
      <c r="G1231" s="58"/>
      <c r="H1231" s="59"/>
      <c r="I1231" s="58" t="e">
        <f>ROUNDDOWN(G1231/H1231,0)</f>
        <v>#DIV/0!</v>
      </c>
      <c r="J1231" s="67"/>
      <c r="K1231" s="68"/>
      <c r="L1231" s="67"/>
    </row>
    <row r="1232" s="37" customFormat="1" ht="12.75" spans="7:12">
      <c r="G1232" s="58"/>
      <c r="H1232" s="59"/>
      <c r="I1232" s="58" t="e">
        <f>ROUNDDOWN(G1232/H1232,0)</f>
        <v>#DIV/0!</v>
      </c>
      <c r="J1232" s="67"/>
      <c r="K1232" s="68"/>
      <c r="L1232" s="67"/>
    </row>
    <row r="1233" s="37" customFormat="1" ht="12.75" spans="7:14">
      <c r="G1233" s="58"/>
      <c r="H1233" s="59"/>
      <c r="I1233" s="58"/>
      <c r="J1233" s="67"/>
      <c r="K1233" s="68"/>
      <c r="L1233" s="67"/>
    </row>
    <row r="1234" s="37" customFormat="1" ht="12.75" spans="7:14">
      <c r="G1234" s="58"/>
      <c r="H1234" s="59"/>
      <c r="I1234" s="58"/>
      <c r="J1234" s="67"/>
      <c r="K1234" s="68"/>
      <c r="L1234" s="67"/>
    </row>
    <row r="1235" s="37" customFormat="1" ht="12.75" spans="7:14">
      <c r="G1235" s="58"/>
      <c r="H1235" s="59"/>
      <c r="I1235" s="58"/>
      <c r="J1235" s="67"/>
      <c r="K1235" s="68"/>
      <c r="L1235" s="67"/>
    </row>
    <row r="1236" s="37" customFormat="1" ht="12.75" spans="7:14">
      <c r="G1236" s="58"/>
      <c r="H1236" s="59"/>
      <c r="I1236" s="58"/>
      <c r="J1236" s="67"/>
      <c r="K1236" s="68"/>
      <c r="L1236" s="67"/>
    </row>
    <row r="1237" s="37" customFormat="1" ht="12.75" spans="7:14">
      <c r="G1237" s="58"/>
      <c r="H1237" s="59"/>
      <c r="I1237" s="58"/>
      <c r="J1237" s="67"/>
      <c r="K1237" s="68"/>
      <c r="L1237" s="67"/>
    </row>
    <row r="1238" s="37" customFormat="1" ht="12.75" spans="7:14">
      <c r="G1238" s="58"/>
      <c r="H1238" s="59"/>
      <c r="I1238" s="58"/>
      <c r="J1238" s="67"/>
      <c r="K1238" s="68"/>
      <c r="L1238" s="67"/>
    </row>
    <row r="1239" s="37" customFormat="1" ht="12.75" spans="7:14">
      <c r="G1239" s="58"/>
      <c r="H1239" s="59"/>
      <c r="I1239" s="58"/>
      <c r="J1239" s="67"/>
      <c r="K1239" s="68"/>
      <c r="L1239" s="67"/>
      <c r="N1239" s="62"/>
    </row>
    <row r="1240" s="37" customFormat="1" ht="12.75" spans="7:14">
      <c r="G1240" s="58"/>
      <c r="H1240" s="59"/>
      <c r="I1240" s="58" t="e">
        <f>ROUNDDOWN(G1240/H1240,0)</f>
        <v>#DIV/0!</v>
      </c>
      <c r="J1240" s="67"/>
      <c r="K1240" s="68"/>
      <c r="L1240" s="67"/>
      <c r="N1240" s="62"/>
    </row>
    <row r="1241" s="37" customFormat="1" ht="12.75" spans="7:14">
      <c r="G1241" s="58"/>
      <c r="H1241" s="59"/>
      <c r="I1241" s="58"/>
      <c r="J1241" s="67"/>
      <c r="K1241" s="68"/>
      <c r="L1241" s="67"/>
      <c r="N1241" s="62"/>
    </row>
    <row r="1242" s="37" customFormat="1" ht="12.75" spans="7:14">
      <c r="G1242" s="58"/>
      <c r="H1242" s="59"/>
      <c r="I1242" s="58"/>
      <c r="J1242" s="67"/>
      <c r="K1242" s="68"/>
      <c r="L1242" s="67"/>
      <c r="N1242" s="62"/>
    </row>
    <row r="1243" s="37" customFormat="1" ht="12.75" spans="7:14">
      <c r="G1243" s="58"/>
      <c r="H1243" s="59"/>
      <c r="I1243" s="58"/>
      <c r="J1243" s="67"/>
      <c r="K1243" s="68"/>
      <c r="L1243" s="67"/>
      <c r="N1243" s="62"/>
    </row>
    <row r="1244" s="37" customFormat="1" ht="12.75" spans="7:14">
      <c r="G1244" s="58"/>
      <c r="H1244" s="59"/>
      <c r="I1244" s="58"/>
      <c r="J1244" s="67"/>
      <c r="K1244" s="68"/>
      <c r="L1244" s="67"/>
      <c r="N1244" s="62"/>
    </row>
    <row r="1245" s="37" customFormat="1" ht="12.75" spans="7:14">
      <c r="G1245" s="58"/>
      <c r="H1245" s="59"/>
      <c r="I1245" s="58"/>
      <c r="J1245" s="67"/>
      <c r="K1245" s="68"/>
      <c r="L1245" s="67"/>
      <c r="N1245" s="62"/>
    </row>
    <row r="1246" s="37" customFormat="1" ht="12.75" spans="7:14">
      <c r="G1246" s="58"/>
      <c r="H1246" s="59"/>
      <c r="I1246" s="58"/>
      <c r="J1246" s="67"/>
      <c r="K1246" s="68"/>
      <c r="L1246" s="67"/>
      <c r="N1246" s="62"/>
    </row>
    <row r="1247" s="37" customFormat="1" ht="12.75" spans="7:14">
      <c r="G1247" s="58"/>
      <c r="H1247" s="59"/>
      <c r="I1247" s="58"/>
      <c r="J1247" s="67"/>
      <c r="K1247" s="68"/>
      <c r="L1247" s="67"/>
      <c r="N1247" s="62"/>
    </row>
    <row r="1248" s="37" customFormat="1" ht="12.75" spans="7:14">
      <c r="G1248" s="58"/>
      <c r="H1248" s="59"/>
      <c r="I1248" s="58"/>
      <c r="J1248" s="67"/>
      <c r="K1248" s="68"/>
      <c r="L1248" s="67"/>
      <c r="N1248" s="62"/>
    </row>
    <row r="1249" s="37" customFormat="1" ht="12.75" spans="7:14">
      <c r="G1249" s="58"/>
      <c r="H1249" s="59"/>
      <c r="I1249" s="58"/>
      <c r="J1249" s="67"/>
      <c r="K1249" s="68"/>
      <c r="L1249" s="67"/>
      <c r="N1249" s="62"/>
    </row>
    <row r="1250" s="37" customFormat="1" ht="12.75" spans="7:14">
      <c r="G1250" s="58"/>
      <c r="H1250" s="59"/>
      <c r="I1250" s="58"/>
      <c r="J1250" s="67"/>
      <c r="K1250" s="68"/>
      <c r="L1250" s="67"/>
    </row>
    <row r="1251" s="37" customFormat="1" ht="12.75" spans="7:14">
      <c r="G1251" s="58"/>
      <c r="H1251" s="59"/>
      <c r="I1251" s="58"/>
      <c r="J1251" s="67"/>
      <c r="K1251" s="68"/>
      <c r="L1251" s="67"/>
    </row>
    <row r="1252" s="37" customFormat="1" ht="12.75" spans="7:14">
      <c r="G1252" s="58"/>
      <c r="H1252" s="59"/>
      <c r="I1252" s="58"/>
      <c r="J1252" s="67"/>
      <c r="K1252" s="68"/>
      <c r="L1252" s="67"/>
    </row>
    <row r="1253" s="37" customFormat="1" ht="12.75" spans="7:14">
      <c r="G1253" s="58"/>
      <c r="H1253" s="59"/>
      <c r="I1253" s="58"/>
      <c r="J1253" s="67"/>
      <c r="K1253" s="68"/>
      <c r="L1253" s="67"/>
    </row>
    <row r="1254" s="37" customFormat="1" ht="12.75" spans="7:14">
      <c r="G1254" s="58"/>
      <c r="H1254" s="59"/>
      <c r="I1254" s="58" t="e">
        <f>ROUNDDOWN(G1254/H1254,0)</f>
        <v>#DIV/0!</v>
      </c>
      <c r="J1254" s="67"/>
      <c r="K1254" s="68"/>
      <c r="L1254" s="67"/>
    </row>
    <row r="1255" s="37" customFormat="1" ht="12.75" spans="7:14">
      <c r="G1255" s="58"/>
      <c r="H1255" s="59"/>
      <c r="I1255" s="58" t="e">
        <f>ROUNDDOWN(G1255/H1255,0)</f>
        <v>#DIV/0!</v>
      </c>
      <c r="J1255" s="67"/>
      <c r="K1255" s="68"/>
      <c r="L1255" s="67"/>
    </row>
    <row r="1256" s="37" customFormat="1" ht="12.75" spans="7:14">
      <c r="G1256" s="58"/>
      <c r="H1256" s="59"/>
      <c r="I1256" s="58"/>
      <c r="J1256" s="67"/>
      <c r="K1256" s="68"/>
      <c r="L1256" s="67"/>
    </row>
    <row r="1257" s="37" customFormat="1" ht="12.75" spans="7:14">
      <c r="G1257" s="58"/>
      <c r="H1257" s="59"/>
      <c r="I1257" s="58"/>
      <c r="J1257" s="67"/>
      <c r="K1257" s="68"/>
      <c r="L1257" s="67"/>
    </row>
    <row r="1258" s="37" customFormat="1" ht="12.75" spans="7:14">
      <c r="G1258" s="58"/>
      <c r="H1258" s="59"/>
      <c r="I1258" s="58"/>
      <c r="J1258" s="67"/>
      <c r="K1258" s="68"/>
      <c r="L1258" s="67"/>
    </row>
    <row r="1259" s="37" customFormat="1" ht="12.75" spans="7:14">
      <c r="G1259" s="58"/>
      <c r="H1259" s="59"/>
      <c r="I1259" s="58"/>
      <c r="J1259" s="67"/>
      <c r="K1259" s="68"/>
      <c r="L1259" s="67"/>
    </row>
    <row r="1260" s="37" customFormat="1" ht="12.75" spans="7:14">
      <c r="G1260" s="58"/>
      <c r="H1260" s="59"/>
      <c r="I1260" s="58"/>
      <c r="J1260" s="67"/>
      <c r="K1260" s="68"/>
      <c r="L1260" s="67"/>
    </row>
    <row r="1261" s="37" customFormat="1" ht="12.75" spans="7:14">
      <c r="G1261" s="58"/>
      <c r="H1261" s="59"/>
      <c r="I1261" s="58"/>
      <c r="J1261" s="67"/>
      <c r="K1261" s="68"/>
      <c r="L1261" s="67"/>
    </row>
    <row r="1262" s="37" customFormat="1" ht="12.75" spans="7:14">
      <c r="G1262" s="58"/>
      <c r="H1262" s="59"/>
      <c r="I1262" s="58"/>
      <c r="J1262" s="67"/>
      <c r="K1262" s="68"/>
      <c r="L1262" s="67"/>
    </row>
    <row r="1263" s="37" customFormat="1" ht="12.75" spans="7:14">
      <c r="G1263" s="58"/>
      <c r="H1263" s="59"/>
      <c r="I1263" s="58"/>
      <c r="J1263" s="67"/>
      <c r="K1263" s="68"/>
      <c r="L1263" s="67"/>
    </row>
    <row r="1264" s="37" customFormat="1" ht="12.75" spans="7:14">
      <c r="G1264" s="58"/>
      <c r="H1264" s="59"/>
      <c r="I1264" s="58"/>
      <c r="J1264" s="67"/>
      <c r="K1264" s="68"/>
      <c r="L1264" s="67"/>
    </row>
    <row r="1265" s="37" customFormat="1" ht="12.75" spans="7:12">
      <c r="G1265" s="58"/>
      <c r="H1265" s="59"/>
      <c r="I1265" s="58"/>
      <c r="J1265" s="67"/>
      <c r="K1265" s="68"/>
      <c r="L1265" s="67"/>
    </row>
    <row r="1266" s="37" customFormat="1" ht="12.75" spans="7:12">
      <c r="G1266" s="58"/>
      <c r="H1266" s="59"/>
      <c r="I1266" s="58"/>
      <c r="J1266" s="67"/>
      <c r="K1266" s="68"/>
      <c r="L1266" s="67"/>
    </row>
    <row r="1267" s="37" customFormat="1" ht="12.75" spans="7:12">
      <c r="G1267" s="58"/>
      <c r="H1267" s="59"/>
      <c r="I1267" s="58"/>
      <c r="J1267" s="67"/>
      <c r="K1267" s="68"/>
      <c r="L1267" s="67"/>
    </row>
    <row r="1268" s="37" customFormat="1" ht="12.75" spans="7:12">
      <c r="G1268" s="58"/>
      <c r="H1268" s="59"/>
      <c r="I1268" s="58" t="e">
        <f>ROUNDDOWN(G1268/H1268,0)</f>
        <v>#DIV/0!</v>
      </c>
      <c r="J1268" s="67"/>
      <c r="K1268" s="68"/>
      <c r="L1268" s="67"/>
    </row>
    <row r="1269" s="37" customFormat="1" ht="12.75" spans="7:12">
      <c r="G1269" s="58"/>
      <c r="H1269" s="59"/>
      <c r="I1269" s="58" t="e">
        <f>ROUNDDOWN(G1269/H1269,0)</f>
        <v>#DIV/0!</v>
      </c>
      <c r="J1269" s="67"/>
      <c r="K1269" s="68"/>
      <c r="L1269" s="67"/>
    </row>
    <row r="1270" s="37" customFormat="1" ht="12.75" spans="7:12">
      <c r="G1270" s="58"/>
      <c r="H1270" s="59"/>
      <c r="I1270" s="58"/>
      <c r="J1270" s="67"/>
      <c r="K1270" s="68"/>
      <c r="L1270" s="67"/>
    </row>
    <row r="1271" s="37" customFormat="1" ht="12.75" spans="7:12">
      <c r="G1271" s="58"/>
      <c r="H1271" s="59"/>
      <c r="I1271" s="58"/>
      <c r="J1271" s="67"/>
      <c r="K1271" s="68"/>
      <c r="L1271" s="67"/>
    </row>
    <row r="1272" s="37" customFormat="1" ht="12.75" spans="7:12">
      <c r="G1272" s="58"/>
      <c r="H1272" s="59"/>
      <c r="I1272" s="58"/>
      <c r="J1272" s="67"/>
      <c r="K1272" s="68"/>
      <c r="L1272" s="67"/>
    </row>
    <row r="1273" s="37" customFormat="1" ht="12.75" spans="7:12">
      <c r="G1273" s="58"/>
      <c r="H1273" s="59"/>
      <c r="I1273" s="58"/>
      <c r="J1273" s="67"/>
      <c r="K1273" s="68"/>
      <c r="L1273" s="67"/>
    </row>
    <row r="1274" s="37" customFormat="1" ht="12.75" spans="7:12">
      <c r="G1274" s="58"/>
      <c r="H1274" s="59"/>
      <c r="I1274" s="58"/>
      <c r="J1274" s="67"/>
      <c r="K1274" s="68"/>
      <c r="L1274" s="67"/>
    </row>
    <row r="1275" s="37" customFormat="1" ht="12.75" spans="7:12">
      <c r="G1275" s="58"/>
      <c r="H1275" s="59"/>
      <c r="I1275" s="58"/>
      <c r="J1275" s="67"/>
      <c r="K1275" s="68"/>
      <c r="L1275" s="67"/>
    </row>
    <row r="1276" s="37" customFormat="1" ht="12.75" spans="7:12">
      <c r="G1276" s="58"/>
      <c r="H1276" s="59"/>
      <c r="I1276" s="58"/>
      <c r="J1276" s="67"/>
      <c r="K1276" s="68"/>
      <c r="L1276" s="67"/>
    </row>
    <row r="1277" s="37" customFormat="1" ht="12.75" spans="7:12">
      <c r="G1277" s="58"/>
      <c r="H1277" s="59"/>
      <c r="I1277" s="58"/>
      <c r="J1277" s="67"/>
      <c r="K1277" s="68"/>
      <c r="L1277" s="67"/>
    </row>
    <row r="1278" s="37" customFormat="1" ht="12.75" spans="7:12">
      <c r="G1278" s="58"/>
      <c r="H1278" s="59"/>
      <c r="I1278" s="58"/>
      <c r="J1278" s="67"/>
      <c r="K1278" s="68"/>
      <c r="L1278" s="67"/>
    </row>
    <row r="1279" s="37" customFormat="1" ht="12.75" spans="7:12">
      <c r="G1279" s="58"/>
      <c r="H1279" s="59"/>
      <c r="I1279" s="58"/>
      <c r="J1279" s="67"/>
      <c r="K1279" s="68"/>
      <c r="L1279" s="67"/>
    </row>
    <row r="1280" s="37" customFormat="1" ht="12.75" spans="7:12">
      <c r="G1280" s="58"/>
      <c r="H1280" s="59"/>
      <c r="I1280" s="58"/>
      <c r="K1280" s="60"/>
    </row>
    <row r="1281" s="37" customFormat="1" ht="12.75" spans="1:11">
      <c r="G1281" s="58"/>
      <c r="H1281" s="59"/>
      <c r="I1281" s="58"/>
      <c r="K1281" s="60"/>
    </row>
    <row r="1282" s="37" customFormat="1" ht="12.75" spans="1:11">
      <c r="G1282" s="58"/>
      <c r="H1282" s="59"/>
      <c r="I1282" s="58"/>
      <c r="K1282" s="60"/>
    </row>
    <row r="1283" s="37" customFormat="1" ht="12.75" spans="1:11">
      <c r="G1283" s="58"/>
      <c r="H1283" s="59"/>
      <c r="I1283" s="58"/>
      <c r="K1283" s="60"/>
    </row>
    <row r="1284" s="37" customFormat="1" ht="12.75" spans="1:11">
      <c r="G1284" s="58"/>
      <c r="H1284" s="59"/>
      <c r="I1284" s="58" t="e">
        <f>ROUNDDOWN(G1284/H1284,0)</f>
        <v>#DIV/0!</v>
      </c>
      <c r="K1284" s="60"/>
    </row>
    <row r="1285" s="37" customFormat="1" ht="12.75" spans="1:11">
      <c r="G1285" s="58"/>
      <c r="H1285" s="59"/>
      <c r="I1285" s="58" t="e">
        <f>ROUNDDOWN(G1285/H1285,0)</f>
        <v>#DIV/0!</v>
      </c>
      <c r="K1285" s="60"/>
    </row>
    <row r="1286" s="54" customFormat="1" ht="12.75" spans="1:11">
      <c r="A1286" s="37"/>
      <c r="B1286" s="37"/>
      <c r="C1286" s="37"/>
      <c r="D1286" s="37"/>
      <c r="E1286" s="37"/>
      <c r="F1286" s="37"/>
      <c r="G1286" s="58"/>
      <c r="H1286" s="59"/>
      <c r="I1286" s="58"/>
      <c r="K1286" s="78"/>
    </row>
    <row r="1287" s="54" customFormat="1" ht="12.75" spans="1:11">
      <c r="A1287" s="37"/>
      <c r="B1287" s="37"/>
      <c r="C1287" s="37"/>
      <c r="D1287" s="37"/>
      <c r="E1287" s="37"/>
      <c r="F1287" s="37"/>
      <c r="G1287" s="58"/>
      <c r="H1287" s="59"/>
      <c r="I1287" s="58"/>
      <c r="K1287" s="78"/>
    </row>
    <row r="1288" s="54" customFormat="1" ht="12.75" spans="1:11">
      <c r="A1288" s="37"/>
      <c r="B1288" s="37"/>
      <c r="C1288" s="37"/>
      <c r="D1288" s="37"/>
      <c r="E1288" s="37"/>
      <c r="F1288" s="37"/>
      <c r="G1288" s="58"/>
      <c r="H1288" s="59"/>
      <c r="I1288" s="58"/>
      <c r="K1288" s="78"/>
    </row>
    <row r="1289" s="54" customFormat="1" ht="12.75" spans="1:11">
      <c r="A1289" s="37"/>
      <c r="B1289" s="37"/>
      <c r="C1289" s="37"/>
      <c r="D1289" s="37"/>
      <c r="E1289" s="37"/>
      <c r="F1289" s="37"/>
      <c r="G1289" s="58"/>
      <c r="H1289" s="59"/>
      <c r="I1289" s="58"/>
      <c r="K1289" s="78"/>
    </row>
    <row r="1290" s="54" customFormat="1" ht="12.75" spans="1:11">
      <c r="A1290" s="37"/>
      <c r="B1290" s="37"/>
      <c r="C1290" s="37"/>
      <c r="D1290" s="37"/>
      <c r="E1290" s="37"/>
      <c r="F1290" s="37"/>
      <c r="G1290" s="58"/>
      <c r="H1290" s="59"/>
      <c r="I1290" s="58"/>
      <c r="K1290" s="78"/>
    </row>
    <row r="1291" s="37" customFormat="1" ht="12.75" spans="1:11">
      <c r="G1291" s="58"/>
      <c r="H1291" s="59"/>
      <c r="I1291" s="58"/>
      <c r="K1291" s="60"/>
    </row>
    <row r="1292" s="37" customFormat="1" ht="12.75" spans="1:11">
      <c r="G1292" s="58"/>
      <c r="H1292" s="59"/>
      <c r="I1292" s="58"/>
      <c r="K1292" s="60"/>
    </row>
    <row r="1293" s="37" customFormat="1" ht="12.75" spans="1:11">
      <c r="G1293" s="58"/>
      <c r="H1293" s="59"/>
      <c r="I1293" s="58"/>
      <c r="K1293" s="60"/>
    </row>
    <row r="1294" s="37" customFormat="1" ht="12.75" spans="1:11">
      <c r="G1294" s="58"/>
      <c r="H1294" s="59"/>
      <c r="I1294" s="58"/>
      <c r="K1294" s="60"/>
    </row>
    <row r="1295" s="37" customFormat="1" ht="12.75" spans="1:11">
      <c r="G1295" s="58"/>
      <c r="H1295" s="59"/>
      <c r="I1295" s="58"/>
      <c r="K1295" s="60"/>
    </row>
    <row r="1296" s="37" customFormat="1" ht="12.75" spans="1:11">
      <c r="G1296" s="58"/>
      <c r="H1296" s="59"/>
      <c r="I1296" s="58"/>
      <c r="K1296" s="60"/>
    </row>
    <row r="1297" s="54" customFormat="1" ht="12.75" spans="1:11">
      <c r="A1297" s="37"/>
      <c r="B1297" s="37"/>
      <c r="C1297" s="37"/>
      <c r="D1297" s="37"/>
      <c r="E1297" s="37"/>
      <c r="F1297" s="37"/>
      <c r="G1297" s="58"/>
      <c r="H1297" s="59"/>
      <c r="I1297" s="58"/>
      <c r="K1297" s="78"/>
    </row>
    <row r="1298" s="54" customFormat="1" ht="12.75" spans="1:11">
      <c r="A1298" s="37"/>
      <c r="B1298" s="37"/>
      <c r="C1298" s="37"/>
      <c r="D1298" s="37"/>
      <c r="E1298" s="37"/>
      <c r="F1298" s="37"/>
      <c r="G1298" s="58"/>
      <c r="H1298" s="59"/>
      <c r="I1298" s="58" t="e">
        <f>ROUNDDOWN(G1298/H1298,0)</f>
        <v>#DIV/0!</v>
      </c>
      <c r="K1298" s="78"/>
    </row>
    <row r="1299" s="54" customFormat="1" ht="12.75" spans="1:11">
      <c r="A1299" s="37"/>
      <c r="B1299" s="37"/>
      <c r="C1299" s="37"/>
      <c r="D1299" s="37"/>
      <c r="E1299" s="37"/>
      <c r="F1299" s="37"/>
      <c r="G1299" s="58"/>
      <c r="H1299" s="59"/>
      <c r="I1299" s="58" t="e">
        <f>ROUNDDOWN(G1299/H1299,0)</f>
        <v>#DIV/0!</v>
      </c>
      <c r="K1299" s="78"/>
    </row>
    <row r="1300" s="54" customFormat="1" ht="12.75" spans="1:11">
      <c r="A1300" s="37"/>
      <c r="B1300" s="37"/>
      <c r="C1300" s="37"/>
      <c r="D1300" s="37"/>
      <c r="E1300" s="37"/>
      <c r="F1300" s="37"/>
      <c r="G1300" s="58"/>
      <c r="H1300" s="59"/>
      <c r="I1300" s="58"/>
      <c r="K1300" s="78"/>
    </row>
    <row r="1301" s="54" customFormat="1" ht="12.75" spans="1:11">
      <c r="A1301" s="37"/>
      <c r="B1301" s="37"/>
      <c r="C1301" s="37"/>
      <c r="D1301" s="37"/>
      <c r="E1301" s="37"/>
      <c r="F1301" s="37"/>
      <c r="G1301" s="58"/>
      <c r="H1301" s="59"/>
      <c r="I1301" s="58"/>
      <c r="K1301" s="78"/>
    </row>
    <row r="1302" s="37" customFormat="1" ht="12.75" spans="1:11">
      <c r="G1302" s="58"/>
      <c r="H1302" s="59"/>
      <c r="I1302" s="58"/>
      <c r="K1302" s="60"/>
    </row>
    <row r="1303" s="37" customFormat="1" ht="12.75" spans="1:11">
      <c r="G1303" s="58"/>
      <c r="H1303" s="59"/>
      <c r="I1303" s="58"/>
      <c r="K1303" s="60"/>
    </row>
    <row r="1304" s="37" customFormat="1" ht="12.75" spans="1:11">
      <c r="G1304" s="58"/>
      <c r="H1304" s="59"/>
      <c r="I1304" s="58"/>
      <c r="K1304" s="60"/>
    </row>
    <row r="1305" s="37" customFormat="1" ht="12.75" spans="1:11">
      <c r="G1305" s="58"/>
      <c r="H1305" s="59"/>
      <c r="I1305" s="58"/>
      <c r="K1305" s="60"/>
    </row>
    <row r="1306" s="37" customFormat="1" ht="12.75" spans="1:11">
      <c r="G1306" s="58"/>
      <c r="H1306" s="59"/>
      <c r="I1306" s="58"/>
      <c r="K1306" s="60"/>
    </row>
    <row r="1307" s="37" customFormat="1" ht="12.75" spans="1:11">
      <c r="G1307" s="58"/>
      <c r="H1307" s="59"/>
      <c r="I1307" s="58"/>
      <c r="K1307" s="60"/>
    </row>
    <row r="1308" s="54" customFormat="1" ht="12.75" spans="1:11">
      <c r="A1308" s="37"/>
      <c r="B1308" s="37"/>
      <c r="C1308" s="37"/>
      <c r="D1308" s="37"/>
      <c r="E1308" s="37"/>
      <c r="F1308" s="37"/>
      <c r="G1308" s="58"/>
      <c r="H1308" s="59"/>
      <c r="I1308" s="58"/>
      <c r="K1308" s="78"/>
    </row>
    <row r="1309" s="54" customFormat="1" ht="12.75" spans="1:11">
      <c r="A1309" s="37"/>
      <c r="B1309" s="37"/>
      <c r="C1309" s="37"/>
      <c r="D1309" s="37"/>
      <c r="E1309" s="37"/>
      <c r="F1309" s="37"/>
      <c r="G1309" s="58"/>
      <c r="H1309" s="59"/>
      <c r="I1309" s="58"/>
      <c r="K1309" s="78"/>
    </row>
    <row r="1310" s="54" customFormat="1" ht="12.75" spans="1:11">
      <c r="A1310" s="37"/>
      <c r="B1310" s="37"/>
      <c r="C1310" s="37"/>
      <c r="D1310" s="37"/>
      <c r="E1310" s="37"/>
      <c r="F1310" s="37"/>
      <c r="G1310" s="58"/>
      <c r="H1310" s="59"/>
      <c r="I1310" s="58"/>
      <c r="K1310" s="78"/>
    </row>
    <row r="1311" s="37" customFormat="1" ht="12.75" spans="1:11">
      <c r="G1311" s="58"/>
      <c r="H1311" s="59"/>
      <c r="I1311" s="58"/>
      <c r="K1311" s="60"/>
    </row>
    <row r="1312" s="37" customFormat="1" ht="12.75" spans="1:11">
      <c r="G1312" s="58"/>
      <c r="H1312" s="59"/>
      <c r="I1312" s="58"/>
      <c r="K1312" s="60"/>
    </row>
    <row r="1313" s="37" customFormat="1" ht="12.75" spans="1:11">
      <c r="G1313" s="58"/>
      <c r="H1313" s="59"/>
      <c r="I1313" s="58"/>
      <c r="K1313" s="60"/>
    </row>
    <row r="1314" s="37" customFormat="1" ht="12.75" spans="1:11">
      <c r="G1314" s="58"/>
      <c r="H1314" s="59"/>
      <c r="I1314" s="58" t="e">
        <f>ROUNDDOWN(G1314/H1314,0)</f>
        <v>#DIV/0!</v>
      </c>
      <c r="K1314" s="60"/>
    </row>
    <row r="1315" s="37" customFormat="1" ht="12.75" spans="1:11">
      <c r="G1315" s="58"/>
      <c r="H1315" s="59"/>
      <c r="I1315" s="58" t="e">
        <f>ROUNDDOWN(G1315/H1315,0)</f>
        <v>#DIV/0!</v>
      </c>
      <c r="K1315" s="60"/>
    </row>
    <row r="1316" s="37" customFormat="1" ht="12.75" spans="1:11">
      <c r="G1316" s="58"/>
      <c r="H1316" s="59"/>
      <c r="I1316" s="58"/>
      <c r="K1316" s="60"/>
    </row>
    <row r="1317" s="54" customFormat="1" ht="12.75" spans="1:11">
      <c r="A1317" s="37"/>
      <c r="B1317" s="37"/>
      <c r="C1317" s="37"/>
      <c r="D1317" s="37"/>
      <c r="E1317" s="37"/>
      <c r="F1317" s="37"/>
      <c r="G1317" s="58"/>
      <c r="H1317" s="59"/>
      <c r="I1317" s="58"/>
      <c r="K1317" s="78"/>
    </row>
    <row r="1318" s="54" customFormat="1" ht="12.75" spans="1:11">
      <c r="A1318" s="37"/>
      <c r="B1318" s="37"/>
      <c r="C1318" s="37"/>
      <c r="D1318" s="37"/>
      <c r="E1318" s="37"/>
      <c r="F1318" s="37"/>
      <c r="G1318" s="58"/>
      <c r="H1318" s="59"/>
      <c r="I1318" s="58"/>
      <c r="K1318" s="78"/>
    </row>
    <row r="1319" s="54" customFormat="1" ht="12.75" spans="1:11">
      <c r="A1319" s="37"/>
      <c r="B1319" s="37"/>
      <c r="C1319" s="37"/>
      <c r="D1319" s="37"/>
      <c r="E1319" s="37"/>
      <c r="F1319" s="37"/>
      <c r="G1319" s="58"/>
      <c r="H1319" s="59"/>
      <c r="I1319" s="58"/>
      <c r="K1319" s="78"/>
    </row>
    <row r="1320" s="37" customFormat="1" ht="12.75" spans="1:11">
      <c r="G1320" s="58"/>
      <c r="H1320" s="59"/>
      <c r="I1320" s="58"/>
      <c r="K1320" s="60"/>
    </row>
    <row r="1321" s="37" customFormat="1" ht="12.75" spans="1:11">
      <c r="G1321" s="58"/>
      <c r="H1321" s="59"/>
      <c r="I1321" s="58"/>
      <c r="K1321" s="60"/>
    </row>
    <row r="1322" s="37" customFormat="1" ht="12.75" spans="1:11">
      <c r="G1322" s="58"/>
      <c r="H1322" s="59"/>
      <c r="I1322" s="58"/>
      <c r="K1322" s="60"/>
    </row>
    <row r="1323" s="37" customFormat="1" ht="12.75" spans="1:11">
      <c r="G1323" s="58"/>
      <c r="H1323" s="59"/>
      <c r="I1323" s="58"/>
      <c r="K1323" s="60"/>
    </row>
    <row r="1324" s="37" customFormat="1" ht="12.75" spans="1:11">
      <c r="G1324" s="58"/>
      <c r="H1324" s="59"/>
      <c r="I1324" s="58"/>
      <c r="K1324" s="60"/>
    </row>
    <row r="1325" s="37" customFormat="1" ht="12.75" spans="1:11">
      <c r="G1325" s="58"/>
      <c r="H1325" s="59"/>
      <c r="I1325" s="58"/>
      <c r="K1325" s="60"/>
    </row>
    <row r="1326" s="54" customFormat="1" ht="12.75" spans="1:11">
      <c r="A1326" s="37"/>
      <c r="B1326" s="37"/>
      <c r="C1326" s="37"/>
      <c r="D1326" s="37"/>
      <c r="E1326" s="37"/>
      <c r="F1326" s="37"/>
      <c r="G1326" s="58"/>
      <c r="H1326" s="59"/>
      <c r="I1326" s="58"/>
      <c r="K1326" s="78"/>
    </row>
    <row r="1327" s="54" customFormat="1" ht="12.75" spans="1:11">
      <c r="A1327" s="37"/>
      <c r="B1327" s="37"/>
      <c r="C1327" s="37"/>
      <c r="D1327" s="37"/>
      <c r="E1327" s="37"/>
      <c r="F1327" s="37"/>
      <c r="G1327" s="58"/>
      <c r="H1327" s="59"/>
      <c r="I1327" s="58"/>
      <c r="K1327" s="78"/>
    </row>
    <row r="1328" s="54" customFormat="1" ht="12.75" spans="1:11">
      <c r="A1328" s="37"/>
      <c r="B1328" s="37"/>
      <c r="C1328" s="37"/>
      <c r="D1328" s="37"/>
      <c r="E1328" s="37"/>
      <c r="F1328" s="37"/>
      <c r="G1328" s="58"/>
      <c r="H1328" s="59"/>
      <c r="I1328" s="58"/>
      <c r="K1328" s="78"/>
    </row>
    <row r="1329" s="54" customFormat="1" ht="12.75" spans="1:11">
      <c r="A1329" s="37"/>
      <c r="B1329" s="37"/>
      <c r="C1329" s="37"/>
      <c r="D1329" s="37"/>
      <c r="E1329" s="37"/>
      <c r="F1329" s="37"/>
      <c r="G1329" s="58"/>
      <c r="H1329" s="59"/>
      <c r="I1329" s="58" t="e">
        <f>ROUNDDOWN(G1329/H1329,0)</f>
        <v>#DIV/0!</v>
      </c>
      <c r="K1329" s="78"/>
    </row>
    <row r="1330" s="37" customFormat="1" ht="12.75" spans="1:11">
      <c r="G1330" s="58"/>
      <c r="H1330" s="59"/>
      <c r="I1330" s="58" t="e">
        <f>ROUNDDOWN(G1330/H1330,0)</f>
        <v>#DIV/0!</v>
      </c>
      <c r="K1330" s="60"/>
    </row>
    <row r="1331" s="37" customFormat="1" ht="12.75" spans="1:11">
      <c r="G1331" s="58"/>
      <c r="H1331" s="59"/>
      <c r="I1331" s="58"/>
      <c r="K1331" s="60"/>
    </row>
    <row r="1332" s="37" customFormat="1" ht="12.75" spans="1:11">
      <c r="G1332" s="58"/>
      <c r="H1332" s="59"/>
      <c r="I1332" s="58"/>
      <c r="K1332" s="60"/>
    </row>
    <row r="1333" s="37" customFormat="1" ht="12.75" spans="1:11">
      <c r="G1333" s="58"/>
      <c r="H1333" s="59"/>
      <c r="I1333" s="58"/>
      <c r="K1333" s="60"/>
    </row>
    <row r="1334" s="37" customFormat="1" ht="12.75" spans="1:11">
      <c r="G1334" s="58"/>
      <c r="H1334" s="59"/>
      <c r="I1334" s="58"/>
      <c r="K1334" s="60"/>
    </row>
    <row r="1335" s="37" customFormat="1" ht="12.75" spans="1:11">
      <c r="G1335" s="58"/>
      <c r="H1335" s="59"/>
      <c r="I1335" s="58"/>
      <c r="K1335" s="60"/>
    </row>
    <row r="1336" s="54" customFormat="1" ht="12.75" spans="1:11">
      <c r="A1336" s="37"/>
      <c r="B1336" s="37"/>
      <c r="C1336" s="37"/>
      <c r="D1336" s="37"/>
      <c r="E1336" s="37"/>
      <c r="F1336" s="37"/>
      <c r="G1336" s="58"/>
      <c r="H1336" s="59"/>
      <c r="I1336" s="58"/>
      <c r="K1336" s="78"/>
    </row>
    <row r="1337" s="54" customFormat="1" ht="12.75" spans="1:11">
      <c r="A1337" s="37"/>
      <c r="B1337" s="37"/>
      <c r="C1337" s="37"/>
      <c r="D1337" s="37"/>
      <c r="E1337" s="37"/>
      <c r="F1337" s="37"/>
      <c r="G1337" s="58"/>
      <c r="H1337" s="59"/>
      <c r="I1337" s="58"/>
      <c r="K1337" s="78"/>
    </row>
    <row r="1338" s="54" customFormat="1" ht="12.75" spans="1:11">
      <c r="A1338" s="37"/>
      <c r="B1338" s="37"/>
      <c r="C1338" s="37"/>
      <c r="D1338" s="37"/>
      <c r="E1338" s="37"/>
      <c r="F1338" s="37"/>
      <c r="G1338" s="58"/>
      <c r="H1338" s="59"/>
      <c r="I1338" s="58"/>
      <c r="K1338" s="78"/>
    </row>
    <row r="1339" s="54" customFormat="1" ht="12.75" spans="1:11">
      <c r="A1339" s="37"/>
      <c r="B1339" s="37"/>
      <c r="C1339" s="37"/>
      <c r="D1339" s="37"/>
      <c r="E1339" s="37"/>
      <c r="F1339" s="37"/>
      <c r="G1339" s="58"/>
      <c r="H1339" s="59"/>
      <c r="I1339" s="58"/>
      <c r="K1339" s="78"/>
    </row>
    <row r="1340" s="37" customFormat="1" ht="12.75" spans="1:11">
      <c r="G1340" s="58"/>
      <c r="H1340" s="59"/>
      <c r="I1340" s="58"/>
      <c r="K1340" s="60"/>
    </row>
    <row r="1341" s="37" customFormat="1" ht="12.75" spans="1:11">
      <c r="G1341" s="58"/>
      <c r="H1341" s="59"/>
      <c r="I1341" s="58"/>
      <c r="K1341" s="60"/>
    </row>
    <row r="1342" s="37" customFormat="1" ht="12.75" spans="1:11">
      <c r="G1342" s="58"/>
      <c r="H1342" s="59"/>
      <c r="I1342" s="58"/>
      <c r="K1342" s="60"/>
    </row>
    <row r="1343" s="37" customFormat="1" ht="12.75" spans="1:11">
      <c r="G1343" s="58"/>
      <c r="H1343" s="59"/>
      <c r="I1343" s="58"/>
      <c r="K1343" s="60"/>
    </row>
    <row r="1344" s="37" customFormat="1" ht="12.75" spans="1:11">
      <c r="G1344" s="58"/>
      <c r="H1344" s="59"/>
      <c r="I1344" s="58"/>
      <c r="K1344" s="60"/>
    </row>
    <row r="1345" s="37" customFormat="1" ht="12.75" spans="1:11">
      <c r="G1345" s="58"/>
      <c r="H1345" s="59"/>
      <c r="I1345" s="58" t="e">
        <f>ROUNDDOWN(G1345/H1345,0)</f>
        <v>#DIV/0!</v>
      </c>
      <c r="K1345" s="60"/>
    </row>
    <row r="1346" s="54" customFormat="1" ht="12.75" spans="1:11">
      <c r="A1346" s="37"/>
      <c r="B1346" s="37"/>
      <c r="C1346" s="37"/>
      <c r="D1346" s="37"/>
      <c r="E1346" s="37"/>
      <c r="F1346" s="37"/>
      <c r="G1346" s="58"/>
      <c r="H1346" s="59"/>
      <c r="I1346" s="58" t="e">
        <f>ROUNDDOWN(G1346/H1346,0)</f>
        <v>#DIV/0!</v>
      </c>
      <c r="K1346" s="78"/>
    </row>
    <row r="1347" s="54" customFormat="1" ht="12.75" spans="1:11">
      <c r="A1347" s="37"/>
      <c r="B1347" s="37"/>
      <c r="C1347" s="37"/>
      <c r="D1347" s="37"/>
      <c r="E1347" s="37"/>
      <c r="F1347" s="37"/>
      <c r="G1347" s="58"/>
      <c r="H1347" s="59"/>
      <c r="I1347" s="58"/>
      <c r="K1347" s="78"/>
    </row>
    <row r="1348" s="54" customFormat="1" ht="12.75" spans="1:11">
      <c r="A1348" s="37"/>
      <c r="B1348" s="37"/>
      <c r="C1348" s="37"/>
      <c r="D1348" s="37"/>
      <c r="E1348" s="37"/>
      <c r="F1348" s="37"/>
      <c r="G1348" s="58"/>
      <c r="H1348" s="59"/>
      <c r="I1348" s="58"/>
      <c r="K1348" s="78"/>
    </row>
    <row r="1349" s="54" customFormat="1" ht="12.75" spans="1:11">
      <c r="A1349" s="37"/>
      <c r="B1349" s="37"/>
      <c r="C1349" s="37"/>
      <c r="D1349" s="37"/>
      <c r="E1349" s="37"/>
      <c r="F1349" s="37"/>
      <c r="G1349" s="58"/>
      <c r="H1349" s="59"/>
      <c r="I1349" s="58"/>
      <c r="K1349" s="78"/>
    </row>
    <row r="1350" s="54" customFormat="1" ht="12.75" spans="1:11">
      <c r="A1350" s="37"/>
      <c r="B1350" s="37"/>
      <c r="C1350" s="37"/>
      <c r="D1350" s="37"/>
      <c r="E1350" s="37"/>
      <c r="F1350" s="37"/>
      <c r="G1350" s="58"/>
      <c r="H1350" s="59"/>
      <c r="I1350" s="58"/>
      <c r="K1350" s="78"/>
    </row>
    <row r="1351" s="37" customFormat="1" ht="12.75" spans="1:11">
      <c r="G1351" s="58"/>
      <c r="H1351" s="59"/>
      <c r="I1351" s="58"/>
      <c r="K1351" s="60"/>
    </row>
    <row r="1352" s="37" customFormat="1" ht="12.75" spans="1:11">
      <c r="G1352" s="58"/>
      <c r="H1352" s="59"/>
      <c r="I1352" s="58"/>
      <c r="K1352" s="60"/>
    </row>
    <row r="1353" s="37" customFormat="1" ht="12.75" spans="1:11">
      <c r="G1353" s="58"/>
      <c r="H1353" s="59"/>
      <c r="I1353" s="58"/>
      <c r="K1353" s="60"/>
    </row>
    <row r="1354" s="37" customFormat="1" ht="12.75" spans="1:11">
      <c r="G1354" s="58"/>
      <c r="H1354" s="59"/>
      <c r="I1354" s="58"/>
      <c r="K1354" s="60"/>
    </row>
    <row r="1355" s="37" customFormat="1" ht="12.75" spans="1:11">
      <c r="G1355" s="58"/>
      <c r="H1355" s="59"/>
      <c r="I1355" s="58"/>
      <c r="K1355" s="60"/>
    </row>
    <row r="1356" s="37" customFormat="1" ht="12.75" spans="1:11">
      <c r="G1356" s="58"/>
      <c r="H1356" s="59"/>
      <c r="I1356" s="58"/>
      <c r="K1356" s="60"/>
    </row>
    <row r="1357" s="54" customFormat="1" ht="12.75" spans="1:11">
      <c r="A1357" s="37"/>
      <c r="B1357" s="37"/>
      <c r="C1357" s="37"/>
      <c r="D1357" s="37"/>
      <c r="E1357" s="37"/>
      <c r="F1357" s="37"/>
      <c r="G1357" s="58"/>
      <c r="H1357" s="59"/>
      <c r="I1357" s="58" t="e">
        <f>ROUNDDOWN(G1357/H1357,0)</f>
        <v>#DIV/0!</v>
      </c>
      <c r="K1357" s="78"/>
    </row>
    <row r="1358" s="54" customFormat="1" ht="12.75" spans="1:11">
      <c r="A1358" s="37"/>
      <c r="B1358" s="37"/>
      <c r="C1358" s="37"/>
      <c r="D1358" s="37"/>
      <c r="E1358" s="37"/>
      <c r="F1358" s="37"/>
      <c r="G1358" s="58"/>
      <c r="H1358" s="59"/>
      <c r="I1358" s="58" t="e">
        <f>ROUNDDOWN(G1358/H1358,0)</f>
        <v>#DIV/0!</v>
      </c>
      <c r="K1358" s="78"/>
    </row>
    <row r="1359" s="54" customFormat="1" ht="12.75" spans="1:11">
      <c r="A1359" s="37"/>
      <c r="B1359" s="37"/>
      <c r="C1359" s="37"/>
      <c r="D1359" s="37"/>
      <c r="E1359" s="37"/>
      <c r="F1359" s="37"/>
      <c r="G1359" s="58"/>
      <c r="H1359" s="59"/>
      <c r="I1359" s="58"/>
      <c r="K1359" s="78"/>
    </row>
    <row r="1360" s="37" customFormat="1" ht="12.75" spans="1:11">
      <c r="G1360" s="58"/>
      <c r="H1360" s="59"/>
      <c r="I1360" s="58"/>
      <c r="K1360" s="60"/>
    </row>
    <row r="1361" s="37" customFormat="1" ht="12.75" spans="1:11">
      <c r="G1361" s="58"/>
      <c r="H1361" s="59"/>
      <c r="I1361" s="58"/>
      <c r="K1361" s="60"/>
    </row>
    <row r="1362" s="37" customFormat="1" ht="12.75" spans="1:11">
      <c r="G1362" s="58"/>
      <c r="H1362" s="59"/>
      <c r="I1362" s="58"/>
      <c r="K1362" s="60"/>
    </row>
    <row r="1363" s="37" customFormat="1" ht="12.75" spans="1:11">
      <c r="G1363" s="58"/>
      <c r="H1363" s="59"/>
      <c r="I1363" s="58"/>
      <c r="K1363" s="60"/>
    </row>
    <row r="1364" s="37" customFormat="1" ht="12.75" spans="1:11">
      <c r="G1364" s="58"/>
      <c r="H1364" s="59"/>
      <c r="I1364" s="58"/>
      <c r="K1364" s="60"/>
    </row>
    <row r="1365" s="37" customFormat="1" ht="12.75" spans="1:11">
      <c r="G1365" s="58"/>
      <c r="H1365" s="59"/>
      <c r="I1365" s="58"/>
      <c r="K1365" s="60"/>
    </row>
    <row r="1366" s="54" customFormat="1" ht="12.75" spans="1:11">
      <c r="A1366" s="37"/>
      <c r="B1366" s="37"/>
      <c r="C1366" s="37"/>
      <c r="D1366" s="37"/>
      <c r="E1366" s="37"/>
      <c r="F1366" s="37"/>
      <c r="G1366" s="58"/>
      <c r="H1366" s="59"/>
      <c r="I1366" s="58"/>
      <c r="K1366" s="78"/>
    </row>
    <row r="1367" s="54" customFormat="1" ht="12.75" spans="1:11">
      <c r="A1367" s="37"/>
      <c r="B1367" s="37"/>
      <c r="C1367" s="37"/>
      <c r="D1367" s="37"/>
      <c r="E1367" s="37"/>
      <c r="F1367" s="37"/>
      <c r="G1367" s="58"/>
      <c r="H1367" s="59"/>
      <c r="I1367" s="58"/>
      <c r="K1367" s="78"/>
    </row>
    <row r="1368" s="54" customFormat="1" ht="12.75" spans="1:11">
      <c r="A1368" s="37"/>
      <c r="B1368" s="37"/>
      <c r="C1368" s="37"/>
      <c r="D1368" s="37"/>
      <c r="E1368" s="37"/>
      <c r="F1368" s="37"/>
      <c r="G1368" s="58"/>
      <c r="H1368" s="59"/>
      <c r="I1368" s="58"/>
      <c r="K1368" s="78"/>
    </row>
    <row r="1369" s="54" customFormat="1" ht="12.75" spans="1:11">
      <c r="A1369" s="37"/>
      <c r="B1369" s="37"/>
      <c r="C1369" s="37"/>
      <c r="D1369" s="37"/>
      <c r="E1369" s="37"/>
      <c r="F1369" s="37"/>
      <c r="G1369" s="58"/>
      <c r="H1369" s="59"/>
      <c r="I1369" s="58" t="e">
        <f>ROUNDDOWN(G1369/H1369,0)</f>
        <v>#DIV/0!</v>
      </c>
      <c r="K1369" s="78"/>
    </row>
    <row r="1370" s="37" customFormat="1" ht="12.75" spans="1:11">
      <c r="G1370" s="58"/>
      <c r="H1370" s="59"/>
      <c r="I1370" s="58" t="e">
        <f>ROUNDDOWN(G1370/H1370,0)</f>
        <v>#DIV/0!</v>
      </c>
      <c r="K1370" s="60"/>
    </row>
    <row r="1371" s="37" customFormat="1" ht="12.75" spans="1:11">
      <c r="G1371" s="58"/>
      <c r="H1371" s="59"/>
      <c r="I1371" s="58"/>
      <c r="K1371" s="60"/>
    </row>
    <row r="1372" s="37" customFormat="1" ht="12.75" spans="1:11">
      <c r="G1372" s="58"/>
      <c r="H1372" s="59"/>
      <c r="I1372" s="58"/>
      <c r="K1372" s="60"/>
    </row>
    <row r="1373" s="37" customFormat="1" ht="12.75" spans="1:11">
      <c r="G1373" s="58"/>
      <c r="H1373" s="59"/>
      <c r="I1373" s="58"/>
      <c r="K1373" s="60"/>
    </row>
    <row r="1374" s="37" customFormat="1" ht="12.75" spans="1:11">
      <c r="G1374" s="58"/>
      <c r="H1374" s="59"/>
      <c r="I1374" s="58"/>
      <c r="K1374" s="60"/>
    </row>
    <row r="1375" s="37" customFormat="1" ht="12.75" spans="1:11">
      <c r="G1375" s="58"/>
      <c r="H1375" s="59"/>
      <c r="I1375" s="58"/>
      <c r="K1375" s="60"/>
    </row>
    <row r="1376" s="54" customFormat="1" ht="12.75" spans="1:11">
      <c r="A1376" s="37"/>
      <c r="B1376" s="37"/>
      <c r="C1376" s="37"/>
      <c r="D1376" s="37"/>
      <c r="E1376" s="37"/>
      <c r="F1376" s="37"/>
      <c r="G1376" s="58"/>
      <c r="H1376" s="59"/>
      <c r="I1376" s="58"/>
      <c r="K1376" s="78"/>
    </row>
    <row r="1377" s="54" customFormat="1" ht="12.75" spans="1:11">
      <c r="A1377" s="37"/>
      <c r="B1377" s="37"/>
      <c r="C1377" s="37"/>
      <c r="D1377" s="37"/>
      <c r="E1377" s="37"/>
      <c r="F1377" s="37"/>
      <c r="G1377" s="58"/>
      <c r="H1377" s="59"/>
      <c r="I1377" s="58"/>
      <c r="K1377" s="78"/>
    </row>
    <row r="1378" s="54" customFormat="1" ht="12.75" spans="1:11">
      <c r="A1378" s="37"/>
      <c r="B1378" s="37"/>
      <c r="C1378" s="37"/>
      <c r="D1378" s="37"/>
      <c r="E1378" s="37"/>
      <c r="F1378" s="37"/>
      <c r="G1378" s="58"/>
      <c r="H1378" s="59"/>
      <c r="I1378" s="58"/>
      <c r="K1378" s="78"/>
    </row>
    <row r="1379" s="37" customFormat="1" ht="12.75" spans="1:11">
      <c r="G1379" s="58"/>
      <c r="H1379" s="59"/>
      <c r="I1379" s="58"/>
      <c r="K1379" s="60"/>
    </row>
    <row r="1380" s="37" customFormat="1" ht="12.75" spans="1:11">
      <c r="G1380" s="58"/>
      <c r="H1380" s="59"/>
      <c r="I1380" s="58"/>
      <c r="K1380" s="60"/>
    </row>
    <row r="1381" s="37" customFormat="1" ht="12.75" spans="1:11">
      <c r="G1381" s="58"/>
      <c r="H1381" s="59"/>
      <c r="I1381" s="58" t="e">
        <f>ROUNDDOWN(G1381/H1381,0)</f>
        <v>#DIV/0!</v>
      </c>
      <c r="K1381" s="60"/>
    </row>
    <row r="1382" s="37" customFormat="1" ht="12.75" spans="1:11">
      <c r="G1382" s="58"/>
      <c r="H1382" s="59"/>
      <c r="I1382" s="58" t="e">
        <f>ROUNDDOWN(G1382/H1382,0)</f>
        <v>#DIV/0!</v>
      </c>
      <c r="K1382" s="60"/>
    </row>
    <row r="1383" s="37" customFormat="1" ht="12.75" spans="1:11">
      <c r="G1383" s="58"/>
      <c r="H1383" s="59"/>
      <c r="I1383" s="58"/>
      <c r="K1383" s="60"/>
    </row>
    <row r="1384" s="37" customFormat="1" ht="12.75" spans="1:11">
      <c r="G1384" s="58"/>
      <c r="H1384" s="59"/>
      <c r="I1384" s="58"/>
      <c r="K1384" s="60"/>
    </row>
    <row r="1385" s="54" customFormat="1" ht="12.75" spans="1:11">
      <c r="A1385" s="37"/>
      <c r="B1385" s="37"/>
      <c r="C1385" s="37"/>
      <c r="D1385" s="37"/>
      <c r="E1385" s="37"/>
      <c r="F1385" s="37"/>
      <c r="G1385" s="58"/>
      <c r="H1385" s="59"/>
      <c r="I1385" s="58"/>
      <c r="K1385" s="78"/>
    </row>
    <row r="1386" s="54" customFormat="1" ht="12.75" spans="1:11">
      <c r="A1386" s="37"/>
      <c r="B1386" s="37"/>
      <c r="C1386" s="37"/>
      <c r="D1386" s="37"/>
      <c r="E1386" s="37"/>
      <c r="F1386" s="37"/>
      <c r="G1386" s="58"/>
      <c r="H1386" s="59"/>
      <c r="I1386" s="58"/>
      <c r="K1386" s="78"/>
    </row>
    <row r="1387" s="54" customFormat="1" ht="12.75" spans="1:11">
      <c r="A1387" s="37"/>
      <c r="B1387" s="37"/>
      <c r="C1387" s="37"/>
      <c r="D1387" s="37"/>
      <c r="E1387" s="37"/>
      <c r="F1387" s="37"/>
      <c r="G1387" s="58"/>
      <c r="H1387" s="59"/>
      <c r="I1387" s="58"/>
      <c r="K1387" s="78"/>
    </row>
    <row r="1388" s="37" customFormat="1" ht="12.75" spans="1:11">
      <c r="G1388" s="58"/>
      <c r="H1388" s="59"/>
      <c r="I1388" s="58"/>
      <c r="K1388" s="60"/>
    </row>
    <row r="1389" s="37" customFormat="1" ht="12.75" spans="1:11">
      <c r="G1389" s="58"/>
      <c r="H1389" s="59"/>
      <c r="I1389" s="58"/>
      <c r="K1389" s="60"/>
    </row>
    <row r="1390" s="37" customFormat="1" ht="12.75" spans="1:11">
      <c r="G1390" s="58"/>
      <c r="H1390" s="59"/>
      <c r="I1390" s="58"/>
      <c r="K1390" s="60"/>
    </row>
    <row r="1391" s="37" customFormat="1" ht="12.75" spans="1:11">
      <c r="G1391" s="58"/>
      <c r="H1391" s="59"/>
      <c r="I1391" s="58"/>
      <c r="K1391" s="60"/>
    </row>
    <row r="1392" s="37" customFormat="1" ht="12.75" spans="1:11">
      <c r="G1392" s="58"/>
      <c r="H1392" s="59"/>
      <c r="I1392" s="58"/>
      <c r="K1392" s="60"/>
    </row>
    <row r="1393" s="37" customFormat="1" ht="12.75" spans="1:11">
      <c r="G1393" s="58"/>
      <c r="H1393" s="59"/>
      <c r="I1393" s="58"/>
      <c r="K1393" s="60"/>
    </row>
    <row r="1394" s="54" customFormat="1" ht="12.75" spans="1:11">
      <c r="A1394" s="37"/>
      <c r="B1394" s="37"/>
      <c r="C1394" s="37"/>
      <c r="D1394" s="37"/>
      <c r="E1394" s="37"/>
      <c r="F1394" s="37"/>
      <c r="G1394" s="58"/>
      <c r="H1394" s="59"/>
      <c r="I1394" s="58" t="e">
        <f>ROUNDDOWN(G1394/H1394,0)</f>
        <v>#DIV/0!</v>
      </c>
      <c r="K1394" s="78"/>
    </row>
    <row r="1395" s="54" customFormat="1" ht="12.75" spans="1:11">
      <c r="A1395" s="37"/>
      <c r="B1395" s="37"/>
      <c r="C1395" s="37"/>
      <c r="D1395" s="37"/>
      <c r="E1395" s="37"/>
      <c r="F1395" s="37"/>
      <c r="G1395" s="58"/>
      <c r="H1395" s="59"/>
      <c r="I1395" s="58" t="e">
        <f>ROUNDDOWN(G1395/H1395,0)</f>
        <v>#DIV/0!</v>
      </c>
      <c r="K1395" s="78"/>
    </row>
    <row r="1396" s="54" customFormat="1" ht="12.75" spans="1:11">
      <c r="A1396" s="37"/>
      <c r="B1396" s="37"/>
      <c r="C1396" s="37"/>
      <c r="D1396" s="37"/>
      <c r="E1396" s="37"/>
      <c r="F1396" s="37"/>
      <c r="G1396" s="58"/>
      <c r="H1396" s="59"/>
      <c r="I1396" s="58"/>
      <c r="K1396" s="78"/>
    </row>
    <row r="1397" s="37" customFormat="1" ht="12.75" spans="1:11">
      <c r="G1397" s="58"/>
      <c r="H1397" s="59"/>
      <c r="I1397" s="58"/>
      <c r="K1397" s="60"/>
    </row>
    <row r="1398" s="37" customFormat="1" ht="12.75" spans="1:11">
      <c r="G1398" s="58"/>
      <c r="H1398" s="59"/>
      <c r="I1398" s="58"/>
      <c r="K1398" s="60"/>
    </row>
    <row r="1399" s="37" customFormat="1" ht="12.75" spans="1:11">
      <c r="G1399" s="58"/>
      <c r="H1399" s="59"/>
      <c r="I1399" s="58"/>
      <c r="K1399" s="60"/>
    </row>
    <row r="1400" s="37" customFormat="1" ht="12.75" spans="1:11">
      <c r="G1400" s="58"/>
      <c r="H1400" s="59"/>
      <c r="I1400" s="58"/>
      <c r="K1400" s="60"/>
    </row>
    <row r="1401" s="37" customFormat="1" ht="12.75" spans="1:11">
      <c r="G1401" s="58"/>
      <c r="H1401" s="59"/>
      <c r="I1401" s="58"/>
      <c r="K1401" s="60"/>
    </row>
    <row r="1402" s="37" customFormat="1" ht="12.75" spans="1:11">
      <c r="G1402" s="58"/>
      <c r="H1402" s="59"/>
      <c r="I1402" s="58"/>
      <c r="K1402" s="60"/>
    </row>
    <row r="1403" s="54" customFormat="1" ht="12.75" spans="1:11">
      <c r="A1403" s="37"/>
      <c r="B1403" s="37"/>
      <c r="C1403" s="37"/>
      <c r="D1403" s="37"/>
      <c r="E1403" s="37"/>
      <c r="F1403" s="37"/>
      <c r="G1403" s="58"/>
      <c r="H1403" s="59"/>
      <c r="I1403" s="58"/>
      <c r="K1403" s="78"/>
    </row>
    <row r="1404" s="54" customFormat="1" ht="12.75" spans="1:11">
      <c r="A1404" s="37"/>
      <c r="B1404" s="37"/>
      <c r="C1404" s="37"/>
      <c r="D1404" s="37"/>
      <c r="E1404" s="37"/>
      <c r="F1404" s="37"/>
      <c r="G1404" s="58"/>
      <c r="H1404" s="59"/>
      <c r="I1404" s="58"/>
      <c r="K1404" s="78"/>
    </row>
    <row r="1405" s="54" customFormat="1" ht="12.75" spans="1:11">
      <c r="A1405" s="37"/>
      <c r="B1405" s="37"/>
      <c r="C1405" s="37"/>
      <c r="D1405" s="37"/>
      <c r="E1405" s="37"/>
      <c r="F1405" s="37"/>
      <c r="G1405" s="58"/>
      <c r="H1405" s="59"/>
      <c r="I1405" s="58"/>
      <c r="K1405" s="78"/>
    </row>
    <row r="1406" s="54" customFormat="1" ht="12.75" spans="1:11">
      <c r="A1406" s="37"/>
      <c r="B1406" s="37"/>
      <c r="C1406" s="37"/>
      <c r="D1406" s="37"/>
      <c r="E1406" s="37"/>
      <c r="F1406" s="37"/>
      <c r="G1406" s="58"/>
      <c r="H1406" s="59"/>
      <c r="I1406" s="58"/>
      <c r="K1406" s="78"/>
    </row>
    <row r="1407" s="37" customFormat="1" ht="12.75" spans="1:11">
      <c r="G1407" s="58"/>
      <c r="H1407" s="59"/>
      <c r="I1407" s="58"/>
      <c r="K1407" s="60"/>
    </row>
    <row r="1408" s="37" customFormat="1" ht="12.75" spans="1:11">
      <c r="G1408" s="58"/>
      <c r="H1408" s="59"/>
      <c r="I1408" s="58"/>
      <c r="K1408" s="60"/>
    </row>
    <row r="1409" s="37" customFormat="1" ht="12.75" spans="1:11">
      <c r="G1409" s="58"/>
      <c r="H1409" s="59"/>
      <c r="I1409" s="58"/>
      <c r="K1409" s="60"/>
    </row>
    <row r="1410" s="37" customFormat="1" ht="12.75" spans="1:11">
      <c r="G1410" s="58"/>
      <c r="H1410" s="59"/>
      <c r="I1410" s="58"/>
      <c r="K1410" s="60"/>
    </row>
    <row r="1411" s="37" customFormat="1" ht="12.75" spans="1:11">
      <c r="G1411" s="58"/>
      <c r="H1411" s="59"/>
      <c r="I1411" s="58"/>
      <c r="K1411" s="60"/>
    </row>
    <row r="1412" s="37" customFormat="1" ht="12.75" spans="1:11">
      <c r="G1412" s="58"/>
      <c r="H1412" s="59"/>
      <c r="I1412" s="58" t="e">
        <f>ROUNDDOWN(G1412/H1412,0)</f>
        <v>#DIV/0!</v>
      </c>
      <c r="K1412" s="60"/>
    </row>
    <row r="1413" s="54" customFormat="1" ht="12.75" spans="1:11">
      <c r="A1413" s="37"/>
      <c r="B1413" s="37"/>
      <c r="C1413" s="37"/>
      <c r="D1413" s="37"/>
      <c r="E1413" s="37"/>
      <c r="F1413" s="37"/>
      <c r="G1413" s="58"/>
      <c r="H1413" s="59"/>
      <c r="I1413" s="58" t="e">
        <f>ROUNDDOWN(G1413/H1413,0)</f>
        <v>#DIV/0!</v>
      </c>
      <c r="K1413" s="78"/>
    </row>
    <row r="1414" s="54" customFormat="1" ht="12.75" spans="1:11">
      <c r="A1414" s="37"/>
      <c r="B1414" s="37"/>
      <c r="C1414" s="37"/>
      <c r="D1414" s="37"/>
      <c r="E1414" s="37"/>
      <c r="F1414" s="37"/>
      <c r="G1414" s="58"/>
      <c r="H1414" s="59"/>
      <c r="I1414" s="58"/>
      <c r="K1414" s="78"/>
    </row>
    <row r="1415" s="54" customFormat="1" ht="12.75" spans="1:11">
      <c r="A1415" s="37"/>
      <c r="B1415" s="37"/>
      <c r="C1415" s="37"/>
      <c r="D1415" s="37"/>
      <c r="E1415" s="37"/>
      <c r="F1415" s="37"/>
      <c r="G1415" s="58"/>
      <c r="H1415" s="59"/>
      <c r="I1415" s="58"/>
      <c r="K1415" s="78"/>
    </row>
    <row r="1416" s="54" customFormat="1" ht="12.75" spans="1:11">
      <c r="A1416" s="37"/>
      <c r="B1416" s="37"/>
      <c r="C1416" s="37"/>
      <c r="D1416" s="37"/>
      <c r="E1416" s="37"/>
      <c r="F1416" s="37"/>
      <c r="G1416" s="58"/>
      <c r="H1416" s="59"/>
      <c r="I1416" s="58"/>
      <c r="K1416" s="78"/>
    </row>
    <row r="1417" s="54" customFormat="1" ht="12.75" spans="1:11">
      <c r="A1417" s="37"/>
      <c r="B1417" s="37"/>
      <c r="C1417" s="37"/>
      <c r="D1417" s="37"/>
      <c r="E1417" s="37"/>
      <c r="F1417" s="37"/>
      <c r="G1417" s="58"/>
      <c r="H1417" s="59"/>
      <c r="I1417" s="58"/>
      <c r="K1417" s="78"/>
    </row>
    <row r="1418" s="37" customFormat="1" ht="12.75" spans="1:11">
      <c r="G1418" s="58"/>
      <c r="H1418" s="59"/>
      <c r="I1418" s="58"/>
      <c r="K1418" s="60"/>
    </row>
    <row r="1419" s="37" customFormat="1" ht="12.75" spans="1:11">
      <c r="G1419" s="58"/>
      <c r="H1419" s="59"/>
      <c r="I1419" s="58"/>
      <c r="K1419" s="60"/>
    </row>
    <row r="1420" s="37" customFormat="1" ht="12.75" spans="1:11">
      <c r="G1420" s="58"/>
      <c r="H1420" s="59"/>
      <c r="I1420" s="58"/>
      <c r="K1420" s="60"/>
    </row>
    <row r="1421" s="37" customFormat="1" ht="12.75" spans="1:11">
      <c r="G1421" s="58"/>
      <c r="H1421" s="59"/>
      <c r="I1421" s="58"/>
      <c r="K1421" s="60"/>
    </row>
    <row r="1422" s="37" customFormat="1" ht="12.75" spans="1:11">
      <c r="G1422" s="58"/>
      <c r="H1422" s="59"/>
      <c r="I1422" s="58"/>
      <c r="K1422" s="60"/>
    </row>
    <row r="1423" s="37" customFormat="1" ht="12.75" spans="1:11">
      <c r="G1423" s="58"/>
      <c r="H1423" s="59"/>
      <c r="I1423" s="58"/>
      <c r="K1423" s="60"/>
    </row>
    <row r="1424" s="54" customFormat="1" ht="12.75" spans="1:11">
      <c r="A1424" s="37"/>
      <c r="B1424" s="37"/>
      <c r="C1424" s="37"/>
      <c r="D1424" s="37"/>
      <c r="E1424" s="37"/>
      <c r="F1424" s="37"/>
      <c r="G1424" s="58"/>
      <c r="H1424" s="59"/>
      <c r="I1424" s="58"/>
      <c r="K1424" s="78"/>
    </row>
    <row r="1425" s="54" customFormat="1" ht="12.75" spans="1:11">
      <c r="A1425" s="37"/>
      <c r="B1425" s="37"/>
      <c r="C1425" s="37"/>
      <c r="D1425" s="37"/>
      <c r="E1425" s="37"/>
      <c r="F1425" s="37"/>
      <c r="G1425" s="58"/>
      <c r="H1425" s="59"/>
      <c r="I1425" s="58"/>
      <c r="K1425" s="78"/>
    </row>
    <row r="1426" s="54" customFormat="1" ht="12.75" spans="1:11">
      <c r="A1426" s="37"/>
      <c r="B1426" s="37"/>
      <c r="C1426" s="37"/>
      <c r="D1426" s="37"/>
      <c r="E1426" s="37"/>
      <c r="F1426" s="37"/>
      <c r="G1426" s="58"/>
      <c r="H1426" s="59"/>
      <c r="I1426" s="58"/>
      <c r="K1426" s="78"/>
    </row>
    <row r="1427" s="54" customFormat="1" ht="12.75" spans="1:11">
      <c r="A1427" s="37"/>
      <c r="B1427" s="37"/>
      <c r="C1427" s="37"/>
      <c r="D1427" s="37"/>
      <c r="E1427" s="37"/>
      <c r="F1427" s="37"/>
      <c r="G1427" s="58"/>
      <c r="H1427" s="59"/>
      <c r="I1427" s="58"/>
      <c r="K1427" s="78"/>
    </row>
    <row r="1428" s="54" customFormat="1" ht="12.75" spans="1:11">
      <c r="A1428" s="37"/>
      <c r="B1428" s="37"/>
      <c r="C1428" s="37"/>
      <c r="D1428" s="37"/>
      <c r="E1428" s="37"/>
      <c r="F1428" s="37"/>
      <c r="G1428" s="58"/>
      <c r="H1428" s="59"/>
      <c r="I1428" s="58"/>
      <c r="K1428" s="78"/>
    </row>
    <row r="1429" s="37" customFormat="1" ht="12.75" spans="1:11">
      <c r="G1429" s="58"/>
      <c r="H1429" s="59"/>
      <c r="I1429" s="58" t="e">
        <f>ROUNDDOWN(G1429/H1429,0)</f>
        <v>#DIV/0!</v>
      </c>
      <c r="K1429" s="60"/>
    </row>
    <row r="1430" s="37" customFormat="1" ht="12.75" spans="1:11">
      <c r="G1430" s="58"/>
      <c r="H1430" s="59"/>
      <c r="I1430" s="58" t="e">
        <f>ROUNDDOWN(G1430/H1430,0)</f>
        <v>#DIV/0!</v>
      </c>
      <c r="K1430" s="60"/>
    </row>
    <row r="1431" s="37" customFormat="1" ht="12.75" spans="1:11">
      <c r="A1431" s="55"/>
      <c r="B1431" s="55"/>
      <c r="D1431" s="55"/>
      <c r="E1431" s="55"/>
      <c r="G1431" s="58"/>
      <c r="H1431" s="59"/>
      <c r="I1431" s="58"/>
      <c r="K1431" s="60"/>
    </row>
    <row r="1432" s="37" customFormat="1" ht="12.75" spans="1:11">
      <c r="G1432" s="58"/>
      <c r="H1432" s="59"/>
      <c r="I1432" s="58"/>
      <c r="K1432" s="60"/>
    </row>
    <row r="1433" s="37" customFormat="1" ht="12.75" spans="1:11">
      <c r="G1433" s="58"/>
      <c r="H1433" s="59"/>
      <c r="I1433" s="58"/>
      <c r="K1433" s="60"/>
    </row>
    <row r="1434" s="37" customFormat="1" ht="12.75" spans="1:11">
      <c r="G1434" s="58"/>
      <c r="H1434" s="59"/>
      <c r="I1434" s="58"/>
      <c r="K1434" s="60"/>
    </row>
    <row r="1435" s="54" customFormat="1" ht="12.75" spans="1:11">
      <c r="A1435" s="37"/>
      <c r="B1435" s="37"/>
      <c r="C1435" s="37"/>
      <c r="D1435" s="37"/>
      <c r="E1435" s="37"/>
      <c r="F1435" s="37"/>
      <c r="G1435" s="58"/>
      <c r="H1435" s="59"/>
      <c r="I1435" s="58"/>
      <c r="K1435" s="78"/>
    </row>
    <row r="1436" s="54" customFormat="1" ht="12.75" spans="1:11">
      <c r="A1436" s="37"/>
      <c r="B1436" s="37"/>
      <c r="C1436" s="37"/>
      <c r="D1436" s="37"/>
      <c r="E1436" s="37"/>
      <c r="F1436" s="37"/>
      <c r="G1436" s="58"/>
      <c r="H1436" s="59"/>
      <c r="I1436" s="58"/>
      <c r="K1436" s="78"/>
    </row>
    <row r="1437" s="54" customFormat="1" ht="12.75" spans="1:11">
      <c r="A1437" s="37"/>
      <c r="B1437" s="37"/>
      <c r="C1437" s="37"/>
      <c r="D1437" s="37"/>
      <c r="E1437" s="37"/>
      <c r="F1437" s="37"/>
      <c r="G1437" s="58"/>
      <c r="H1437" s="59"/>
      <c r="I1437" s="58"/>
      <c r="K1437" s="78"/>
    </row>
    <row r="1438" s="54" customFormat="1" ht="12.75" spans="1:11">
      <c r="A1438" s="37"/>
      <c r="B1438" s="37"/>
      <c r="C1438" s="37"/>
      <c r="D1438" s="37"/>
      <c r="E1438" s="37"/>
      <c r="F1438" s="37"/>
      <c r="G1438" s="58"/>
      <c r="H1438" s="59"/>
      <c r="I1438" s="58"/>
      <c r="K1438" s="78"/>
    </row>
    <row r="1439" s="54" customFormat="1" ht="12.75" spans="1:11">
      <c r="A1439" s="37"/>
      <c r="B1439" s="37"/>
      <c r="C1439" s="37"/>
      <c r="D1439" s="37"/>
      <c r="E1439" s="37"/>
      <c r="F1439" s="37"/>
      <c r="G1439" s="58"/>
      <c r="H1439" s="59"/>
      <c r="I1439" s="58"/>
      <c r="K1439" s="78"/>
    </row>
    <row r="1440" s="37" customFormat="1" ht="12.75" spans="1:11">
      <c r="G1440" s="58"/>
      <c r="H1440" s="59"/>
      <c r="I1440" s="58"/>
      <c r="K1440" s="60"/>
    </row>
    <row r="1441" s="37" customFormat="1" ht="12.75" spans="1:11">
      <c r="G1441" s="58"/>
      <c r="H1441" s="59"/>
      <c r="I1441" s="58"/>
      <c r="K1441" s="60"/>
    </row>
    <row r="1442" s="37" customFormat="1" ht="12.75" spans="1:11">
      <c r="G1442" s="58"/>
      <c r="H1442" s="59"/>
      <c r="I1442" s="58"/>
      <c r="K1442" s="60"/>
    </row>
    <row r="1443" s="37" customFormat="1" ht="12.75" spans="1:11">
      <c r="G1443" s="58"/>
      <c r="H1443" s="59"/>
      <c r="I1443" s="58"/>
      <c r="K1443" s="60"/>
    </row>
    <row r="1444" s="37" customFormat="1" ht="12.75" spans="1:11">
      <c r="G1444" s="58"/>
      <c r="H1444" s="59"/>
      <c r="I1444" s="58"/>
      <c r="K1444" s="60"/>
    </row>
    <row r="1445" s="37" customFormat="1" ht="12.75" spans="1:11">
      <c r="G1445" s="58"/>
      <c r="H1445" s="59"/>
      <c r="I1445" s="58"/>
      <c r="K1445" s="60"/>
    </row>
    <row r="1446" s="54" customFormat="1" ht="12.75" spans="1:11">
      <c r="A1446" s="37"/>
      <c r="B1446" s="37"/>
      <c r="C1446" s="37"/>
      <c r="D1446" s="37"/>
      <c r="E1446" s="37"/>
      <c r="F1446" s="37"/>
      <c r="G1446" s="58"/>
      <c r="H1446" s="59"/>
      <c r="I1446" s="58"/>
      <c r="K1446" s="78"/>
    </row>
    <row r="1447" s="54" customFormat="1" ht="12.75" spans="1:11">
      <c r="A1447" s="37"/>
      <c r="B1447" s="37"/>
      <c r="C1447" s="37"/>
      <c r="D1447" s="37"/>
      <c r="E1447" s="37"/>
      <c r="F1447" s="37"/>
      <c r="G1447" s="58"/>
      <c r="H1447" s="59"/>
      <c r="I1447" s="58" t="e">
        <f>ROUNDDOWN(G1447/H1447,0)</f>
        <v>#DIV/0!</v>
      </c>
      <c r="K1447" s="78"/>
    </row>
    <row r="1448" s="54" customFormat="1" ht="12.75" spans="1:11">
      <c r="A1448" s="37"/>
      <c r="B1448" s="37"/>
      <c r="C1448" s="37"/>
      <c r="D1448" s="37"/>
      <c r="E1448" s="37"/>
      <c r="F1448" s="37"/>
      <c r="G1448" s="58"/>
      <c r="H1448" s="59"/>
      <c r="I1448" s="58" t="e">
        <f>ROUNDDOWN(G1448/H1448,0)</f>
        <v>#DIV/0!</v>
      </c>
      <c r="K1448" s="78"/>
    </row>
    <row r="1449" s="54" customFormat="1" ht="12.75" spans="1:11">
      <c r="A1449" s="37"/>
      <c r="B1449" s="37"/>
      <c r="C1449" s="37"/>
      <c r="D1449" s="37"/>
      <c r="E1449" s="37"/>
      <c r="F1449" s="37"/>
      <c r="G1449" s="58"/>
      <c r="H1449" s="59"/>
      <c r="I1449" s="58"/>
      <c r="K1449" s="78"/>
    </row>
    <row r="1450" s="54" customFormat="1" ht="12.75" spans="1:11">
      <c r="A1450" s="37"/>
      <c r="B1450" s="37"/>
      <c r="C1450" s="64"/>
      <c r="D1450" s="64"/>
      <c r="E1450" s="37"/>
      <c r="F1450" s="37"/>
      <c r="G1450" s="58"/>
      <c r="H1450" s="59"/>
      <c r="I1450" s="58"/>
      <c r="K1450" s="78"/>
    </row>
    <row r="1451" s="54" customFormat="1" ht="12.75" spans="1:11">
      <c r="A1451" s="37"/>
      <c r="B1451" s="37"/>
      <c r="C1451" s="64"/>
      <c r="D1451" s="64"/>
      <c r="E1451" s="37"/>
      <c r="F1451" s="37"/>
      <c r="G1451" s="58"/>
      <c r="H1451" s="59"/>
      <c r="I1451" s="58"/>
      <c r="K1451" s="78"/>
    </row>
    <row r="1452" s="37" customFormat="1" ht="12.75" spans="1:11">
      <c r="C1452" s="64"/>
      <c r="D1452" s="64"/>
      <c r="G1452" s="58"/>
      <c r="H1452" s="59"/>
      <c r="I1452" s="58"/>
      <c r="K1452" s="60"/>
    </row>
    <row r="1453" s="37" customFormat="1" ht="12.75" spans="1:11">
      <c r="C1453" s="64"/>
      <c r="D1453" s="64"/>
      <c r="G1453" s="58"/>
      <c r="H1453" s="59"/>
      <c r="I1453" s="58"/>
      <c r="K1453" s="60"/>
    </row>
    <row r="1454" s="37" customFormat="1" ht="12.75" spans="1:11">
      <c r="C1454" s="64"/>
      <c r="D1454" s="64"/>
      <c r="G1454" s="58"/>
      <c r="H1454" s="59"/>
      <c r="I1454" s="58"/>
      <c r="K1454" s="60"/>
    </row>
    <row r="1455" s="37" customFormat="1" ht="12.75" spans="1:11">
      <c r="A1455" s="54"/>
      <c r="B1455" s="54"/>
      <c r="C1455" s="64"/>
      <c r="D1455" s="64"/>
      <c r="G1455" s="58"/>
      <c r="H1455" s="59"/>
      <c r="I1455" s="58"/>
      <c r="K1455" s="60"/>
    </row>
    <row r="1456" s="37" customFormat="1" ht="12.75" spans="1:11">
      <c r="A1456" s="54"/>
      <c r="B1456" s="54"/>
      <c r="C1456" s="64"/>
      <c r="D1456" s="64"/>
      <c r="G1456" s="58"/>
      <c r="H1456" s="59"/>
      <c r="I1456" s="58"/>
      <c r="K1456" s="60"/>
    </row>
    <row r="1457" s="37" customFormat="1" ht="12.75" spans="1:11">
      <c r="G1457" s="58"/>
      <c r="H1457" s="59"/>
      <c r="I1457" s="58"/>
      <c r="K1457" s="60"/>
    </row>
    <row r="1458" s="54" customFormat="1" ht="12.75" spans="1:11">
      <c r="A1458" s="37"/>
      <c r="B1458" s="37"/>
      <c r="C1458" s="37"/>
      <c r="D1458" s="37"/>
      <c r="E1458" s="37"/>
      <c r="F1458" s="37"/>
      <c r="G1458" s="58"/>
      <c r="H1458" s="59"/>
      <c r="I1458" s="58"/>
      <c r="K1458" s="78"/>
    </row>
    <row r="1459" s="54" customFormat="1" ht="12.75" spans="1:11">
      <c r="A1459" s="37"/>
      <c r="B1459" s="37"/>
      <c r="C1459" s="37"/>
      <c r="D1459" s="37"/>
      <c r="E1459" s="37"/>
      <c r="F1459" s="37"/>
      <c r="G1459" s="58"/>
      <c r="H1459" s="59"/>
      <c r="I1459" s="58"/>
      <c r="K1459" s="78"/>
    </row>
    <row r="1460" s="54" customFormat="1" ht="12.75" spans="1:11">
      <c r="A1460" s="37"/>
      <c r="B1460" s="37"/>
      <c r="C1460" s="37"/>
      <c r="D1460" s="37"/>
      <c r="E1460" s="37"/>
      <c r="F1460" s="37"/>
      <c r="G1460" s="58"/>
      <c r="H1460" s="59"/>
      <c r="I1460" s="58"/>
      <c r="K1460" s="78"/>
    </row>
    <row r="1461" s="54" customFormat="1" ht="12.75" spans="1:11">
      <c r="A1461" s="37"/>
      <c r="B1461" s="37"/>
      <c r="C1461" s="37"/>
      <c r="D1461" s="37"/>
      <c r="E1461" s="37"/>
      <c r="F1461" s="37"/>
      <c r="G1461" s="58"/>
      <c r="H1461" s="59"/>
      <c r="I1461" s="58"/>
      <c r="K1461" s="78"/>
    </row>
    <row r="1462" s="37" customFormat="1" ht="12.75" spans="1:11">
      <c r="G1462" s="58"/>
      <c r="H1462" s="59"/>
      <c r="I1462" s="58"/>
      <c r="K1462" s="60"/>
    </row>
    <row r="1463" s="37" customFormat="1" ht="12.75" spans="1:11">
      <c r="G1463" s="58"/>
      <c r="H1463" s="59"/>
      <c r="I1463" s="58"/>
      <c r="K1463" s="60"/>
    </row>
    <row r="1464" s="37" customFormat="1" ht="12.75" spans="1:11">
      <c r="G1464" s="58"/>
      <c r="H1464" s="59"/>
      <c r="I1464" s="58"/>
      <c r="K1464" s="60"/>
    </row>
    <row r="1465" s="37" customFormat="1" ht="12.75" spans="1:11">
      <c r="G1465" s="58"/>
      <c r="H1465" s="59"/>
      <c r="I1465" s="58"/>
      <c r="K1465" s="60"/>
    </row>
    <row r="1466" s="37" customFormat="1" ht="12.75" spans="1:11">
      <c r="G1466" s="58"/>
      <c r="H1466" s="59"/>
      <c r="I1466" s="58"/>
      <c r="K1466" s="60"/>
    </row>
    <row r="1467" s="37" customFormat="1" ht="12.75" spans="1:11">
      <c r="G1467" s="58"/>
      <c r="H1467" s="59"/>
      <c r="I1467" s="58" t="e">
        <f>ROUNDDOWN(G1467/H1467,0)</f>
        <v>#DIV/0!</v>
      </c>
      <c r="K1467" s="60"/>
    </row>
    <row r="1468" s="54" customFormat="1" ht="12.75" spans="1:11">
      <c r="A1468" s="37"/>
      <c r="B1468" s="37"/>
      <c r="C1468" s="37"/>
      <c r="D1468" s="37"/>
      <c r="E1468" s="37"/>
      <c r="F1468" s="37"/>
      <c r="G1468" s="58"/>
      <c r="H1468" s="59"/>
      <c r="I1468" s="58" t="e">
        <f>ROUNDDOWN(G1468/H1468,0)</f>
        <v>#DIV/0!</v>
      </c>
      <c r="K1468" s="78"/>
    </row>
    <row r="1469" s="54" customFormat="1" ht="12.75" spans="1:11">
      <c r="A1469" s="37"/>
      <c r="B1469" s="37"/>
      <c r="C1469" s="37"/>
      <c r="D1469" s="37"/>
      <c r="E1469" s="37"/>
      <c r="F1469" s="37"/>
      <c r="G1469" s="58"/>
      <c r="H1469" s="59"/>
      <c r="I1469" s="58"/>
      <c r="K1469" s="78"/>
    </row>
    <row r="1470" s="54" customFormat="1" ht="12.75" spans="1:11">
      <c r="A1470" s="37"/>
      <c r="B1470" s="37"/>
      <c r="C1470" s="37"/>
      <c r="D1470" s="37"/>
      <c r="E1470" s="37"/>
      <c r="F1470" s="37"/>
      <c r="G1470" s="58"/>
      <c r="H1470" s="59"/>
      <c r="I1470" s="58"/>
      <c r="K1470" s="78"/>
    </row>
    <row r="1471" s="54" customFormat="1" ht="12.75" spans="1:11">
      <c r="A1471" s="37"/>
      <c r="B1471" s="37"/>
      <c r="C1471" s="37"/>
      <c r="D1471" s="37"/>
      <c r="E1471" s="37"/>
      <c r="F1471" s="37"/>
      <c r="G1471" s="58"/>
      <c r="H1471" s="59"/>
      <c r="I1471" s="58"/>
      <c r="K1471" s="78"/>
    </row>
    <row r="1472" s="37" customFormat="1" ht="12.75" spans="1:11">
      <c r="G1472" s="58"/>
      <c r="H1472" s="59"/>
      <c r="I1472" s="58"/>
      <c r="K1472" s="60"/>
    </row>
    <row r="1473" s="37" customFormat="1" ht="12.75" spans="1:11">
      <c r="G1473" s="58"/>
      <c r="H1473" s="59"/>
      <c r="I1473" s="58"/>
      <c r="K1473" s="60"/>
    </row>
    <row r="1474" s="37" customFormat="1" ht="12.75" spans="1:11">
      <c r="G1474" s="58"/>
      <c r="H1474" s="59"/>
      <c r="I1474" s="58"/>
      <c r="K1474" s="60"/>
    </row>
    <row r="1475" s="37" customFormat="1" ht="12.75" spans="1:11">
      <c r="G1475" s="58"/>
      <c r="H1475" s="59"/>
      <c r="I1475" s="58"/>
      <c r="K1475" s="60"/>
    </row>
    <row r="1476" s="37" customFormat="1" ht="12.75" spans="1:11">
      <c r="G1476" s="58"/>
      <c r="H1476" s="59"/>
      <c r="I1476" s="58"/>
      <c r="K1476" s="60"/>
    </row>
    <row r="1477" s="37" customFormat="1" ht="12.75" spans="1:11">
      <c r="G1477" s="58"/>
      <c r="H1477" s="59"/>
      <c r="I1477" s="58"/>
      <c r="K1477" s="60"/>
    </row>
    <row r="1478" s="54" customFormat="1" ht="12.75" spans="1:11">
      <c r="A1478" s="37"/>
      <c r="B1478" s="37"/>
      <c r="C1478" s="37"/>
      <c r="D1478" s="37"/>
      <c r="E1478" s="37"/>
      <c r="F1478" s="37"/>
      <c r="G1478" s="58"/>
      <c r="H1478" s="59"/>
      <c r="I1478" s="58"/>
      <c r="K1478" s="78"/>
    </row>
    <row r="1479" s="54" customFormat="1" ht="12.75" spans="1:11">
      <c r="A1479" s="37"/>
      <c r="B1479" s="37"/>
      <c r="C1479" s="37"/>
      <c r="D1479" s="37"/>
      <c r="E1479" s="37"/>
      <c r="F1479" s="37"/>
      <c r="G1479" s="58"/>
      <c r="H1479" s="59"/>
      <c r="I1479" s="58"/>
      <c r="K1479" s="78"/>
    </row>
    <row r="1480" s="54" customFormat="1" ht="12.75" spans="1:11">
      <c r="A1480" s="37"/>
      <c r="B1480" s="37"/>
      <c r="C1480" s="37"/>
      <c r="D1480" s="37"/>
      <c r="E1480" s="37"/>
      <c r="F1480" s="37"/>
      <c r="G1480" s="58"/>
      <c r="H1480" s="59"/>
      <c r="I1480" s="58"/>
      <c r="K1480" s="78"/>
    </row>
    <row r="1481" s="54" customFormat="1" ht="12.75" spans="1:11">
      <c r="A1481" s="37"/>
      <c r="B1481" s="37"/>
      <c r="C1481" s="37"/>
      <c r="D1481" s="37"/>
      <c r="E1481" s="37"/>
      <c r="F1481" s="37"/>
      <c r="G1481" s="58"/>
      <c r="H1481" s="59"/>
      <c r="I1481" s="58"/>
      <c r="K1481" s="78"/>
    </row>
    <row r="1482" s="54" customFormat="1" ht="12.75" spans="1:11">
      <c r="A1482" s="37"/>
      <c r="B1482" s="37"/>
      <c r="C1482" s="37"/>
      <c r="D1482" s="37"/>
      <c r="E1482" s="37"/>
      <c r="F1482" s="37"/>
      <c r="G1482" s="58"/>
      <c r="H1482" s="59"/>
      <c r="I1482" s="58"/>
      <c r="K1482" s="78"/>
    </row>
    <row r="1483" s="37" customFormat="1" ht="12.75" spans="1:11">
      <c r="G1483" s="58"/>
      <c r="H1483" s="59"/>
      <c r="I1483" s="58"/>
      <c r="K1483" s="60"/>
    </row>
    <row r="1484" s="37" customFormat="1" ht="12.75" spans="1:11">
      <c r="G1484" s="58"/>
      <c r="H1484" s="59"/>
      <c r="I1484" s="58" t="e">
        <f>ROUNDDOWN(G1484/H1484,0)</f>
        <v>#DIV/0!</v>
      </c>
      <c r="K1484" s="60"/>
    </row>
    <row r="1485" s="37" customFormat="1" ht="12.75" spans="1:11">
      <c r="G1485" s="58"/>
      <c r="H1485" s="59"/>
      <c r="I1485" s="58" t="e">
        <f>ROUNDDOWN(G1485/H1485,0)</f>
        <v>#DIV/0!</v>
      </c>
      <c r="K1485" s="60"/>
    </row>
    <row r="1486" s="37" customFormat="1" ht="12.75" spans="1:11">
      <c r="G1486" s="58"/>
      <c r="H1486" s="59"/>
      <c r="I1486" s="58"/>
      <c r="K1486" s="60"/>
    </row>
    <row r="1487" s="37" customFormat="1" ht="12.75" spans="1:11">
      <c r="G1487" s="58"/>
      <c r="H1487" s="59"/>
      <c r="I1487" s="58"/>
      <c r="K1487" s="60"/>
    </row>
    <row r="1488" s="37" customFormat="1" ht="12.75" spans="1:11">
      <c r="G1488" s="58"/>
      <c r="H1488" s="59"/>
      <c r="I1488" s="58"/>
      <c r="K1488" s="60"/>
    </row>
    <row r="1489" s="37" customFormat="1" ht="12.75" spans="1:11">
      <c r="G1489" s="58"/>
      <c r="H1489" s="59"/>
      <c r="I1489" s="58"/>
      <c r="K1489" s="60"/>
    </row>
    <row r="1490" s="37" customFormat="1" ht="12.75" spans="1:11">
      <c r="G1490" s="58"/>
      <c r="H1490" s="59"/>
      <c r="I1490" s="58"/>
      <c r="K1490" s="60"/>
    </row>
    <row r="1491" s="37" customFormat="1" ht="12.75" spans="1:11">
      <c r="G1491" s="58"/>
      <c r="H1491" s="59"/>
      <c r="I1491" s="58"/>
      <c r="K1491" s="60"/>
    </row>
    <row r="1492" s="37" customFormat="1" ht="12.75" spans="1:11">
      <c r="G1492" s="58"/>
      <c r="H1492" s="59"/>
      <c r="I1492" s="58"/>
      <c r="K1492" s="60"/>
    </row>
    <row r="1493" s="37" customFormat="1" ht="12.75" spans="1:11">
      <c r="G1493" s="58"/>
      <c r="H1493" s="59"/>
      <c r="I1493" s="58"/>
      <c r="K1493" s="60"/>
    </row>
    <row r="1494" s="37" customFormat="1" ht="12.75" spans="1:11">
      <c r="G1494" s="58"/>
      <c r="H1494" s="59"/>
      <c r="I1494" s="58"/>
      <c r="K1494" s="60"/>
    </row>
    <row r="1495" s="37" customFormat="1" ht="12.75" spans="1:11">
      <c r="G1495" s="58"/>
      <c r="H1495" s="59"/>
      <c r="I1495" s="58"/>
      <c r="K1495" s="60"/>
    </row>
    <row r="1496" s="37" customFormat="1" ht="12.75" spans="1:11">
      <c r="G1496" s="58"/>
      <c r="H1496" s="59"/>
      <c r="I1496" s="58"/>
      <c r="K1496" s="60"/>
    </row>
    <row r="1497" s="37" customFormat="1" ht="12.75" spans="1:11">
      <c r="G1497" s="58"/>
      <c r="H1497" s="59"/>
      <c r="I1497" s="58"/>
      <c r="K1497" s="60"/>
    </row>
    <row r="1498" s="54" customFormat="1" ht="12.75" spans="1:11">
      <c r="A1498" s="37"/>
      <c r="B1498" s="37"/>
      <c r="C1498" s="37"/>
      <c r="D1498" s="37"/>
      <c r="E1498" s="37"/>
      <c r="F1498" s="37"/>
      <c r="G1498" s="58"/>
      <c r="H1498" s="59"/>
      <c r="I1498" s="58"/>
      <c r="K1498" s="78"/>
    </row>
    <row r="1499" s="54" customFormat="1" ht="12.75" spans="1:11">
      <c r="A1499" s="37"/>
      <c r="B1499" s="37"/>
      <c r="C1499" s="37"/>
      <c r="D1499" s="37"/>
      <c r="E1499" s="37"/>
      <c r="F1499" s="37"/>
      <c r="G1499" s="58"/>
      <c r="H1499" s="59"/>
      <c r="I1499" s="58" t="e">
        <f>ROUNDDOWN(G1499/H1499,0)</f>
        <v>#DIV/0!</v>
      </c>
      <c r="K1499" s="78"/>
    </row>
    <row r="1500" s="54" customFormat="1" ht="12.75" spans="1:11">
      <c r="A1500" s="37"/>
      <c r="B1500" s="37"/>
      <c r="C1500" s="37"/>
      <c r="D1500" s="37"/>
      <c r="E1500" s="37"/>
      <c r="F1500" s="37"/>
      <c r="G1500" s="58"/>
      <c r="H1500" s="59"/>
      <c r="I1500" s="58" t="e">
        <f>ROUNDDOWN(G1500/H1500,0)</f>
        <v>#DIV/0!</v>
      </c>
      <c r="K1500" s="78"/>
    </row>
    <row r="1501" s="54" customFormat="1" ht="12.75" spans="1:11">
      <c r="A1501" s="37"/>
      <c r="B1501" s="37"/>
      <c r="C1501" s="37"/>
      <c r="D1501" s="37"/>
      <c r="E1501" s="37"/>
      <c r="F1501" s="37"/>
      <c r="G1501" s="58"/>
      <c r="H1501" s="59"/>
      <c r="I1501" s="58"/>
      <c r="K1501" s="78"/>
    </row>
    <row r="1502" s="37" customFormat="1" ht="12.75" spans="1:11">
      <c r="G1502" s="58"/>
      <c r="H1502" s="59"/>
      <c r="I1502" s="58"/>
      <c r="K1502" s="60"/>
    </row>
    <row r="1503" s="37" customFormat="1" ht="12.75" spans="1:11">
      <c r="G1503" s="58"/>
      <c r="H1503" s="59"/>
      <c r="I1503" s="58"/>
      <c r="K1503" s="60"/>
    </row>
    <row r="1504" s="37" customFormat="1" ht="12.75" spans="1:11">
      <c r="G1504" s="58"/>
      <c r="H1504" s="59"/>
      <c r="I1504" s="58"/>
      <c r="K1504" s="60"/>
    </row>
    <row r="1505" s="37" customFormat="1" ht="12.75" spans="1:11">
      <c r="G1505" s="58"/>
      <c r="H1505" s="59"/>
      <c r="I1505" s="58"/>
      <c r="K1505" s="60"/>
    </row>
    <row r="1506" s="37" customFormat="1" ht="12.75" spans="1:11">
      <c r="G1506" s="58"/>
      <c r="H1506" s="59"/>
      <c r="I1506" s="58"/>
      <c r="K1506" s="60"/>
    </row>
    <row r="1507" s="37" customFormat="1" ht="12.75" spans="1:11">
      <c r="G1507" s="58"/>
      <c r="H1507" s="59"/>
      <c r="I1507" s="58"/>
      <c r="K1507" s="60"/>
    </row>
    <row r="1508" s="54" customFormat="1" ht="12.75" spans="1:11">
      <c r="A1508" s="37"/>
      <c r="B1508" s="37"/>
      <c r="C1508" s="37"/>
      <c r="D1508" s="37"/>
      <c r="E1508" s="37"/>
      <c r="F1508" s="37"/>
      <c r="G1508" s="58"/>
      <c r="H1508" s="59"/>
      <c r="I1508" s="58"/>
      <c r="K1508" s="78"/>
    </row>
    <row r="1509" s="54" customFormat="1" ht="12.75" spans="1:11">
      <c r="A1509" s="37"/>
      <c r="B1509" s="37"/>
      <c r="C1509" s="37"/>
      <c r="D1509" s="37"/>
      <c r="E1509" s="37"/>
      <c r="F1509" s="37"/>
      <c r="G1509" s="58"/>
      <c r="H1509" s="59"/>
      <c r="I1509" s="58"/>
      <c r="K1509" s="78"/>
    </row>
    <row r="1510" s="54" customFormat="1" ht="12.75" spans="1:11">
      <c r="A1510" s="37"/>
      <c r="B1510" s="37"/>
      <c r="C1510" s="37"/>
      <c r="D1510" s="37"/>
      <c r="E1510" s="37"/>
      <c r="F1510" s="37"/>
      <c r="G1510" s="58"/>
      <c r="H1510" s="59"/>
      <c r="I1510" s="58"/>
      <c r="K1510" s="78"/>
    </row>
    <row r="1511" s="54" customFormat="1" ht="12.75" spans="1:11">
      <c r="A1511" s="37"/>
      <c r="B1511" s="37"/>
      <c r="C1511" s="37"/>
      <c r="D1511" s="37"/>
      <c r="E1511" s="37"/>
      <c r="F1511" s="37"/>
      <c r="G1511" s="58"/>
      <c r="H1511" s="59"/>
      <c r="I1511" s="58"/>
      <c r="K1511" s="78"/>
    </row>
    <row r="1512" s="54" customFormat="1" ht="12.75" spans="1:11">
      <c r="A1512" s="37"/>
      <c r="B1512" s="37"/>
      <c r="C1512" s="37"/>
      <c r="D1512" s="37"/>
      <c r="E1512" s="37"/>
      <c r="F1512" s="37"/>
      <c r="G1512" s="58"/>
      <c r="H1512" s="59"/>
      <c r="I1512" s="58"/>
      <c r="K1512" s="78"/>
    </row>
    <row r="1513" s="54" customFormat="1" ht="12.75" spans="1:11">
      <c r="A1513" s="37"/>
      <c r="B1513" s="37"/>
      <c r="C1513" s="37"/>
      <c r="D1513" s="37"/>
      <c r="E1513" s="37"/>
      <c r="F1513" s="37"/>
      <c r="G1513" s="58"/>
      <c r="H1513" s="59"/>
      <c r="I1513" s="58"/>
      <c r="K1513" s="78"/>
    </row>
    <row r="1514" s="37" customFormat="1" ht="12.75" spans="1:11">
      <c r="G1514" s="58"/>
      <c r="H1514" s="59"/>
      <c r="I1514" s="58"/>
      <c r="K1514" s="60"/>
    </row>
    <row r="1515" s="37" customFormat="1" ht="12.75" spans="1:11">
      <c r="G1515" s="58"/>
      <c r="H1515" s="59"/>
      <c r="I1515" s="58" t="e">
        <f>ROUNDDOWN(G1515/H1515,0)</f>
        <v>#DIV/0!</v>
      </c>
      <c r="K1515" s="60"/>
    </row>
    <row r="1516" s="37" customFormat="1" ht="12.75" spans="1:11">
      <c r="G1516" s="58"/>
      <c r="H1516" s="59"/>
      <c r="I1516" s="58" t="e">
        <f>ROUNDDOWN(G1516/H1516,0)</f>
        <v>#DIV/0!</v>
      </c>
      <c r="K1516" s="60"/>
    </row>
    <row r="1517" s="37" customFormat="1" ht="12.75" spans="1:11">
      <c r="G1517" s="58"/>
      <c r="H1517" s="59"/>
      <c r="I1517" s="58"/>
      <c r="K1517" s="60"/>
    </row>
    <row r="1518" s="37" customFormat="1" ht="12.75" spans="1:11">
      <c r="G1518" s="58"/>
      <c r="H1518" s="59"/>
      <c r="I1518" s="58"/>
      <c r="K1518" s="60"/>
    </row>
    <row r="1519" s="37" customFormat="1" ht="12.75" spans="1:11">
      <c r="G1519" s="58"/>
      <c r="H1519" s="59"/>
      <c r="I1519" s="58"/>
      <c r="K1519" s="60"/>
    </row>
    <row r="1520" s="54" customFormat="1" ht="12.75" spans="1:11">
      <c r="A1520" s="37"/>
      <c r="B1520" s="37"/>
      <c r="C1520" s="37"/>
      <c r="D1520" s="37"/>
      <c r="E1520" s="37"/>
      <c r="F1520" s="37"/>
      <c r="G1520" s="58"/>
      <c r="H1520" s="59"/>
      <c r="I1520" s="58"/>
      <c r="K1520" s="78"/>
    </row>
    <row r="1521" s="54" customFormat="1" ht="12.75" spans="1:11">
      <c r="A1521" s="37"/>
      <c r="B1521" s="37"/>
      <c r="C1521" s="37"/>
      <c r="D1521" s="37"/>
      <c r="E1521" s="37"/>
      <c r="F1521" s="37"/>
      <c r="G1521" s="58"/>
      <c r="H1521" s="59"/>
      <c r="I1521" s="58"/>
      <c r="K1521" s="78"/>
    </row>
    <row r="1522" s="54" customFormat="1" ht="12.75" spans="1:11">
      <c r="A1522" s="37"/>
      <c r="B1522" s="37"/>
      <c r="C1522" s="37"/>
      <c r="D1522" s="37"/>
      <c r="E1522" s="37"/>
      <c r="F1522" s="37"/>
      <c r="G1522" s="58"/>
      <c r="H1522" s="59"/>
      <c r="I1522" s="58"/>
      <c r="K1522" s="78"/>
    </row>
    <row r="1523" s="54" customFormat="1" ht="12.75" spans="1:11">
      <c r="A1523" s="37"/>
      <c r="B1523" s="37"/>
      <c r="C1523" s="37"/>
      <c r="D1523" s="37"/>
      <c r="E1523" s="37"/>
      <c r="F1523" s="37"/>
      <c r="G1523" s="58"/>
      <c r="H1523" s="59"/>
      <c r="I1523" s="58"/>
      <c r="K1523" s="78"/>
    </row>
    <row r="1524" s="37" customFormat="1" ht="12.75" spans="1:11">
      <c r="G1524" s="58"/>
      <c r="H1524" s="59"/>
      <c r="I1524" s="58"/>
      <c r="K1524" s="60"/>
    </row>
    <row r="1525" s="37" customFormat="1" ht="12.75" spans="1:11">
      <c r="G1525" s="58"/>
      <c r="H1525" s="59"/>
      <c r="I1525" s="58"/>
      <c r="K1525" s="60"/>
    </row>
    <row r="1526" s="37" customFormat="1" ht="12.75" spans="1:11">
      <c r="G1526" s="58"/>
      <c r="H1526" s="59"/>
      <c r="I1526" s="58"/>
      <c r="K1526" s="60"/>
    </row>
    <row r="1527" s="37" customFormat="1" ht="12.75" spans="1:11">
      <c r="G1527" s="58"/>
      <c r="H1527" s="59"/>
      <c r="I1527" s="58"/>
      <c r="K1527" s="60"/>
    </row>
    <row r="1528" s="37" customFormat="1" ht="12.75" spans="1:11">
      <c r="G1528" s="58"/>
      <c r="H1528" s="59"/>
      <c r="I1528" s="58"/>
      <c r="K1528" s="60"/>
    </row>
    <row r="1529" s="37" customFormat="1" ht="12.75" spans="1:11">
      <c r="G1529" s="58"/>
      <c r="H1529" s="59"/>
      <c r="I1529" s="58"/>
      <c r="K1529" s="60"/>
    </row>
    <row r="1530" s="54" customFormat="1" ht="12.75" spans="1:11">
      <c r="A1530" s="37"/>
      <c r="B1530" s="37"/>
      <c r="C1530" s="37"/>
      <c r="D1530" s="37"/>
      <c r="E1530" s="37"/>
      <c r="F1530" s="37"/>
      <c r="G1530" s="58"/>
      <c r="H1530" s="59"/>
      <c r="I1530" s="58"/>
      <c r="K1530" s="78"/>
    </row>
    <row r="1531" s="54" customFormat="1" ht="12.75" spans="1:11">
      <c r="A1531" s="37"/>
      <c r="B1531" s="37"/>
      <c r="C1531" s="37"/>
      <c r="D1531" s="37"/>
      <c r="E1531" s="37"/>
      <c r="F1531" s="37"/>
      <c r="G1531" s="58"/>
      <c r="H1531" s="59"/>
      <c r="I1531" s="58"/>
      <c r="K1531" s="78"/>
    </row>
    <row r="1532" s="54" customFormat="1" ht="12.75" spans="1:11">
      <c r="A1532" s="37"/>
      <c r="B1532" s="37"/>
      <c r="C1532" s="37"/>
      <c r="D1532" s="37"/>
      <c r="E1532" s="37"/>
      <c r="F1532" s="37"/>
      <c r="G1532" s="58"/>
      <c r="H1532" s="59"/>
      <c r="I1532" s="58" t="e">
        <f>ROUNDDOWN(G1532/H1532,0)</f>
        <v>#DIV/0!</v>
      </c>
      <c r="K1532" s="78"/>
    </row>
    <row r="1533" s="54" customFormat="1" ht="12.75" spans="1:11">
      <c r="A1533" s="37"/>
      <c r="B1533" s="37"/>
      <c r="C1533" s="37"/>
      <c r="D1533" s="37"/>
      <c r="E1533" s="37"/>
      <c r="F1533" s="37"/>
      <c r="G1533" s="58"/>
      <c r="H1533" s="59"/>
      <c r="I1533" s="58" t="e">
        <f>ROUNDDOWN(G1533/H1533,0)</f>
        <v>#DIV/0!</v>
      </c>
      <c r="K1533" s="78"/>
    </row>
    <row r="1534" s="37" customFormat="1" ht="12.75" spans="1:11">
      <c r="G1534" s="58"/>
      <c r="H1534" s="59"/>
      <c r="I1534" s="58"/>
      <c r="K1534" s="60"/>
    </row>
    <row r="1535" s="37" customFormat="1" ht="12.75" spans="1:11">
      <c r="G1535" s="58"/>
      <c r="H1535" s="59"/>
      <c r="I1535" s="58"/>
      <c r="K1535" s="60"/>
    </row>
    <row r="1536" s="37" customFormat="1" ht="12.75" spans="1:11">
      <c r="G1536" s="58"/>
      <c r="H1536" s="59"/>
      <c r="I1536" s="58"/>
      <c r="K1536" s="60"/>
    </row>
    <row r="1537" s="37" customFormat="1" ht="12.75" spans="1:11">
      <c r="G1537" s="58"/>
      <c r="H1537" s="59"/>
      <c r="I1537" s="58"/>
      <c r="K1537" s="60"/>
    </row>
    <row r="1538" s="37" customFormat="1" ht="12.75" spans="1:11">
      <c r="G1538" s="58"/>
      <c r="H1538" s="59"/>
      <c r="I1538" s="58"/>
      <c r="K1538" s="60"/>
    </row>
    <row r="1539" s="37" customFormat="1" ht="12.75" spans="1:11">
      <c r="G1539" s="58"/>
      <c r="H1539" s="59"/>
      <c r="I1539" s="58"/>
      <c r="K1539" s="60"/>
    </row>
    <row r="1540" s="54" customFormat="1" ht="12.75" spans="1:11">
      <c r="A1540" s="37"/>
      <c r="B1540" s="37"/>
      <c r="C1540" s="37"/>
      <c r="D1540" s="37"/>
      <c r="E1540" s="37"/>
      <c r="F1540" s="37"/>
      <c r="G1540" s="58"/>
      <c r="H1540" s="59"/>
      <c r="I1540" s="58"/>
      <c r="K1540" s="78"/>
    </row>
    <row r="1541" s="54" customFormat="1" ht="12.75" spans="1:11">
      <c r="A1541" s="37"/>
      <c r="B1541" s="37"/>
      <c r="C1541" s="37"/>
      <c r="D1541" s="37"/>
      <c r="E1541" s="37"/>
      <c r="F1541" s="37"/>
      <c r="G1541" s="58"/>
      <c r="H1541" s="59"/>
      <c r="I1541" s="58"/>
      <c r="K1541" s="78"/>
    </row>
    <row r="1542" s="54" customFormat="1" ht="12.75" spans="1:11">
      <c r="A1542" s="37"/>
      <c r="B1542" s="37"/>
      <c r="C1542" s="37"/>
      <c r="D1542" s="37"/>
      <c r="E1542" s="37"/>
      <c r="F1542" s="37"/>
      <c r="G1542" s="58"/>
      <c r="H1542" s="59"/>
      <c r="I1542" s="58"/>
      <c r="K1542" s="78"/>
    </row>
    <row r="1543" s="54" customFormat="1" ht="12.75" spans="1:11">
      <c r="A1543" s="37"/>
      <c r="B1543" s="37"/>
      <c r="C1543" s="37"/>
      <c r="D1543" s="37"/>
      <c r="E1543" s="37"/>
      <c r="F1543" s="37"/>
      <c r="G1543" s="58"/>
      <c r="H1543" s="59"/>
      <c r="I1543" s="58"/>
      <c r="K1543" s="78"/>
    </row>
    <row r="1544" s="54" customFormat="1" ht="12.75" spans="1:11">
      <c r="A1544" s="37"/>
      <c r="B1544" s="37"/>
      <c r="C1544" s="37"/>
      <c r="D1544" s="37"/>
      <c r="E1544" s="37"/>
      <c r="F1544" s="37"/>
      <c r="G1544" s="58"/>
      <c r="H1544" s="59"/>
      <c r="I1544" s="58"/>
      <c r="K1544" s="78"/>
    </row>
    <row r="1545" s="54" customFormat="1" ht="12.75" spans="1:11">
      <c r="A1545" s="37"/>
      <c r="B1545" s="37"/>
      <c r="C1545" s="37"/>
      <c r="D1545" s="37"/>
      <c r="E1545" s="37"/>
      <c r="F1545" s="37"/>
      <c r="G1545" s="58"/>
      <c r="H1545" s="59"/>
      <c r="I1545" s="58"/>
      <c r="K1545" s="78"/>
    </row>
    <row r="1546" s="37" customFormat="1" ht="12.75" spans="1:11">
      <c r="G1546" s="58"/>
      <c r="H1546" s="59"/>
      <c r="I1546" s="58"/>
      <c r="K1546" s="60"/>
    </row>
    <row r="1547" s="37" customFormat="1" ht="12.75" spans="1:11">
      <c r="G1547" s="58"/>
      <c r="H1547" s="59"/>
      <c r="I1547" s="58"/>
      <c r="K1547" s="60"/>
    </row>
    <row r="1548" s="37" customFormat="1" ht="12.75" spans="1:11">
      <c r="G1548" s="58"/>
      <c r="H1548" s="59"/>
      <c r="I1548" s="58"/>
      <c r="K1548" s="60"/>
    </row>
    <row r="1549" s="37" customFormat="1" ht="12.75" spans="1:11">
      <c r="G1549" s="58"/>
      <c r="H1549" s="59"/>
      <c r="I1549" s="58"/>
      <c r="K1549" s="60"/>
    </row>
    <row r="1550" s="37" customFormat="1" ht="12.75" spans="1:11">
      <c r="G1550" s="58"/>
      <c r="H1550" s="59"/>
      <c r="I1550" s="58" t="e">
        <f>ROUNDDOWN(G1550/H1550,0)</f>
        <v>#DIV/0!</v>
      </c>
      <c r="K1550" s="60"/>
    </row>
    <row r="1551" s="37" customFormat="1" ht="12.75" spans="1:11">
      <c r="G1551" s="58"/>
      <c r="H1551" s="59"/>
      <c r="I1551" s="58" t="e">
        <f>ROUNDDOWN(G1551/H1551,0)</f>
        <v>#DIV/0!</v>
      </c>
      <c r="K1551" s="60"/>
    </row>
    <row r="1552" s="54" customFormat="1" ht="12.75" spans="1:11">
      <c r="A1552" s="37"/>
      <c r="B1552" s="37"/>
      <c r="C1552" s="37"/>
      <c r="D1552" s="37"/>
      <c r="E1552" s="37"/>
      <c r="F1552" s="37"/>
      <c r="G1552" s="58"/>
      <c r="H1552" s="59"/>
      <c r="I1552" s="58"/>
      <c r="K1552" s="78"/>
    </row>
    <row r="1553" s="54" customFormat="1" ht="12.75" spans="1:11">
      <c r="A1553" s="37"/>
      <c r="B1553" s="37"/>
      <c r="C1553" s="37"/>
      <c r="D1553" s="37"/>
      <c r="E1553" s="37"/>
      <c r="F1553" s="37"/>
      <c r="G1553" s="58"/>
      <c r="H1553" s="59"/>
      <c r="I1553" s="58"/>
      <c r="K1553" s="78"/>
    </row>
    <row r="1554" s="54" customFormat="1" ht="12.75" spans="1:11">
      <c r="A1554" s="37"/>
      <c r="B1554" s="37"/>
      <c r="C1554" s="37"/>
      <c r="D1554" s="37"/>
      <c r="E1554" s="37"/>
      <c r="F1554" s="37"/>
      <c r="G1554" s="58"/>
      <c r="H1554" s="59"/>
      <c r="I1554" s="58"/>
      <c r="K1554" s="78"/>
    </row>
    <row r="1555" s="54" customFormat="1" ht="12.75" spans="1:11">
      <c r="A1555" s="37"/>
      <c r="B1555" s="37"/>
      <c r="C1555" s="37"/>
      <c r="D1555" s="37"/>
      <c r="E1555" s="37"/>
      <c r="F1555" s="37"/>
      <c r="G1555" s="58"/>
      <c r="H1555" s="59"/>
      <c r="I1555" s="58"/>
      <c r="K1555" s="78"/>
    </row>
    <row r="1556" s="37" customFormat="1" ht="12.75" spans="1:11">
      <c r="G1556" s="58"/>
      <c r="H1556" s="59"/>
      <c r="I1556" s="58"/>
      <c r="K1556" s="60"/>
    </row>
    <row r="1557" s="37" customFormat="1" ht="12.75" spans="1:11">
      <c r="G1557" s="58"/>
      <c r="H1557" s="59"/>
      <c r="I1557" s="58"/>
      <c r="K1557" s="60"/>
    </row>
    <row r="1558" s="37" customFormat="1" ht="12.75" spans="1:11">
      <c r="G1558" s="58"/>
      <c r="H1558" s="59"/>
      <c r="I1558" s="58"/>
      <c r="K1558" s="60"/>
    </row>
    <row r="1559" s="37" customFormat="1" ht="12.75" spans="1:11">
      <c r="G1559" s="58"/>
      <c r="H1559" s="59"/>
      <c r="I1559" s="58"/>
      <c r="K1559" s="60"/>
    </row>
    <row r="1560" s="37" customFormat="1" ht="12.75" spans="1:11">
      <c r="G1560" s="58"/>
      <c r="H1560" s="59"/>
      <c r="I1560" s="58"/>
      <c r="K1560" s="60"/>
    </row>
    <row r="1561" s="37" customFormat="1" ht="12.75" spans="1:11">
      <c r="G1561" s="58"/>
      <c r="H1561" s="59"/>
      <c r="I1561" s="58"/>
      <c r="K1561" s="60"/>
    </row>
    <row r="1562" s="37" customFormat="1" ht="12.75" spans="1:11">
      <c r="G1562" s="58"/>
      <c r="H1562" s="59"/>
      <c r="I1562" s="58"/>
      <c r="K1562" s="60"/>
    </row>
    <row r="1563" s="54" customFormat="1" ht="12.75" spans="1:11">
      <c r="A1563" s="37"/>
      <c r="B1563" s="37"/>
      <c r="C1563" s="37"/>
      <c r="D1563" s="37"/>
      <c r="E1563" s="37"/>
      <c r="F1563" s="37"/>
      <c r="G1563" s="58"/>
      <c r="H1563" s="59"/>
      <c r="I1563" s="58"/>
      <c r="K1563" s="78"/>
    </row>
    <row r="1564" s="54" customFormat="1" ht="12.75" spans="1:11">
      <c r="A1564" s="37"/>
      <c r="B1564" s="37"/>
      <c r="C1564" s="37"/>
      <c r="D1564" s="37"/>
      <c r="E1564" s="37"/>
      <c r="F1564" s="37"/>
      <c r="G1564" s="58"/>
      <c r="H1564" s="59"/>
      <c r="I1564" s="58"/>
      <c r="K1564" s="78"/>
    </row>
    <row r="1565" s="54" customFormat="1" ht="12.75" spans="1:11">
      <c r="A1565" s="37"/>
      <c r="B1565" s="37"/>
      <c r="C1565" s="37"/>
      <c r="D1565" s="37"/>
      <c r="E1565" s="37"/>
      <c r="F1565" s="37"/>
      <c r="G1565" s="58"/>
      <c r="H1565" s="59"/>
      <c r="I1565" s="58"/>
      <c r="K1565" s="78"/>
    </row>
    <row r="1566" s="54" customFormat="1" ht="12.75" spans="1:11">
      <c r="A1566" s="37"/>
      <c r="B1566" s="37"/>
      <c r="C1566" s="37"/>
      <c r="D1566" s="37"/>
      <c r="E1566" s="37"/>
      <c r="F1566" s="37"/>
      <c r="G1566" s="58"/>
      <c r="H1566" s="59"/>
      <c r="I1566" s="58"/>
      <c r="K1566" s="78"/>
    </row>
    <row r="1567" s="54" customFormat="1" ht="12.75" spans="1:11">
      <c r="A1567" s="37"/>
      <c r="B1567" s="37"/>
      <c r="C1567" s="37"/>
      <c r="D1567" s="37"/>
      <c r="E1567" s="37"/>
      <c r="F1567" s="37"/>
      <c r="G1567" s="58"/>
      <c r="H1567" s="59"/>
      <c r="I1567" s="58"/>
      <c r="K1567" s="78"/>
    </row>
    <row r="1568" s="54" customFormat="1" ht="12.75" spans="1:11">
      <c r="A1568" s="37"/>
      <c r="B1568" s="37"/>
      <c r="C1568" s="37"/>
      <c r="D1568" s="37"/>
      <c r="E1568" s="37"/>
      <c r="F1568" s="37"/>
      <c r="G1568" s="58"/>
      <c r="H1568" s="59"/>
      <c r="I1568" s="58" t="e">
        <f>ROUNDDOWN(G1568/H1568,0)</f>
        <v>#DIV/0!</v>
      </c>
      <c r="K1568" s="78"/>
    </row>
    <row r="1569" s="37" customFormat="1" ht="12.75" spans="1:11">
      <c r="G1569" s="58"/>
      <c r="H1569" s="59"/>
      <c r="I1569" s="58" t="e">
        <f>ROUNDDOWN(G1569/H1569,0)</f>
        <v>#DIV/0!</v>
      </c>
      <c r="K1569" s="60"/>
    </row>
    <row r="1570" s="37" customFormat="1" ht="12.75" spans="1:11">
      <c r="G1570" s="58"/>
      <c r="H1570" s="59"/>
      <c r="I1570" s="58"/>
      <c r="K1570" s="60"/>
    </row>
    <row r="1571" s="37" customFormat="1" ht="12.75" spans="1:11">
      <c r="G1571" s="58"/>
      <c r="H1571" s="59"/>
      <c r="I1571" s="58"/>
      <c r="K1571" s="60"/>
    </row>
    <row r="1572" s="37" customFormat="1" ht="12.75" spans="1:11">
      <c r="G1572" s="58"/>
      <c r="H1572" s="59"/>
      <c r="I1572" s="58"/>
      <c r="K1572" s="60"/>
    </row>
    <row r="1573" s="37" customFormat="1" ht="12.75" spans="1:11">
      <c r="G1573" s="58"/>
      <c r="H1573" s="59"/>
      <c r="I1573" s="58"/>
      <c r="K1573" s="60"/>
    </row>
    <row r="1574" s="37" customFormat="1" ht="12.75" spans="1:11">
      <c r="G1574" s="58"/>
      <c r="H1574" s="59"/>
      <c r="I1574" s="58"/>
      <c r="K1574" s="60"/>
    </row>
    <row r="1575" s="54" customFormat="1" ht="12.75" spans="1:11">
      <c r="A1575" s="37"/>
      <c r="B1575" s="37"/>
      <c r="C1575" s="37"/>
      <c r="D1575" s="37"/>
      <c r="E1575" s="37"/>
      <c r="F1575" s="37"/>
      <c r="G1575" s="58"/>
      <c r="H1575" s="59"/>
      <c r="I1575" s="58"/>
      <c r="K1575" s="78"/>
    </row>
    <row r="1576" s="54" customFormat="1" ht="12.75" spans="1:11">
      <c r="A1576" s="37"/>
      <c r="B1576" s="37"/>
      <c r="C1576" s="37"/>
      <c r="D1576" s="37"/>
      <c r="E1576" s="37"/>
      <c r="F1576" s="37"/>
      <c r="G1576" s="58"/>
      <c r="H1576" s="59"/>
      <c r="I1576" s="58"/>
      <c r="K1576" s="78"/>
    </row>
    <row r="1577" s="54" customFormat="1" ht="12.75" spans="1:11">
      <c r="A1577" s="37"/>
      <c r="B1577" s="37"/>
      <c r="C1577" s="37"/>
      <c r="D1577" s="37"/>
      <c r="E1577" s="37"/>
      <c r="F1577" s="37"/>
      <c r="G1577" s="58"/>
      <c r="H1577" s="59"/>
      <c r="I1577" s="58"/>
      <c r="K1577" s="78"/>
    </row>
    <row r="1578" s="54" customFormat="1" ht="12.75" spans="1:11">
      <c r="A1578" s="37"/>
      <c r="B1578" s="37"/>
      <c r="C1578" s="37"/>
      <c r="D1578" s="37"/>
      <c r="E1578" s="37"/>
      <c r="F1578" s="37"/>
      <c r="G1578" s="58"/>
      <c r="H1578" s="59"/>
      <c r="I1578" s="58"/>
      <c r="K1578" s="78"/>
    </row>
    <row r="1579" s="37" customFormat="1" ht="12.75" spans="1:11">
      <c r="G1579" s="58"/>
      <c r="H1579" s="59"/>
      <c r="I1579" s="58"/>
      <c r="K1579" s="60"/>
    </row>
    <row r="1580" s="37" customFormat="1" ht="12.75" spans="1:11">
      <c r="G1580" s="58"/>
      <c r="H1580" s="59"/>
      <c r="I1580" s="58"/>
      <c r="K1580" s="60"/>
    </row>
    <row r="1581" s="37" customFormat="1" ht="12.75" spans="1:11">
      <c r="G1581" s="58"/>
      <c r="H1581" s="59"/>
      <c r="I1581" s="58"/>
      <c r="K1581" s="60"/>
    </row>
    <row r="1582" s="37" customFormat="1" ht="12.75" spans="1:11">
      <c r="G1582" s="58"/>
      <c r="H1582" s="59"/>
      <c r="I1582" s="58"/>
      <c r="K1582" s="60"/>
    </row>
    <row r="1583" s="37" customFormat="1" ht="12.75" spans="1:11">
      <c r="G1583" s="58"/>
      <c r="H1583" s="59"/>
      <c r="I1583" s="58"/>
      <c r="K1583" s="60"/>
    </row>
    <row r="1584" s="37" customFormat="1" ht="12.75" spans="1:11">
      <c r="G1584" s="58"/>
      <c r="H1584" s="59"/>
      <c r="I1584" s="58"/>
      <c r="K1584" s="60"/>
    </row>
    <row r="1585" s="54" customFormat="1" ht="12.75" spans="1:11">
      <c r="A1585" s="37"/>
      <c r="B1585" s="37"/>
      <c r="C1585" s="37"/>
      <c r="D1585" s="37"/>
      <c r="E1585" s="37"/>
      <c r="F1585" s="37"/>
      <c r="G1585" s="58"/>
      <c r="H1585" s="59"/>
      <c r="I1585" s="58"/>
      <c r="K1585" s="78"/>
    </row>
    <row r="1586" s="54" customFormat="1" ht="12.75" spans="1:11">
      <c r="A1586" s="37"/>
      <c r="B1586" s="37"/>
      <c r="C1586" s="37"/>
      <c r="D1586" s="37"/>
      <c r="E1586" s="37"/>
      <c r="F1586" s="37"/>
      <c r="G1586" s="58"/>
      <c r="H1586" s="59"/>
      <c r="I1586" s="58"/>
      <c r="K1586" s="78"/>
    </row>
    <row r="1587" s="54" customFormat="1" ht="12.75" spans="1:11">
      <c r="A1587" s="37"/>
      <c r="B1587" s="37"/>
      <c r="C1587" s="37"/>
      <c r="D1587" s="37"/>
      <c r="E1587" s="37"/>
      <c r="F1587" s="37"/>
      <c r="G1587" s="58"/>
      <c r="H1587" s="59"/>
      <c r="I1587" s="58"/>
      <c r="K1587" s="78"/>
    </row>
    <row r="1588" s="54" customFormat="1" ht="12.75" spans="1:11">
      <c r="A1588" s="37"/>
      <c r="B1588" s="37"/>
      <c r="C1588" s="37"/>
      <c r="D1588" s="37"/>
      <c r="E1588" s="37"/>
      <c r="F1588" s="37"/>
      <c r="G1588" s="58"/>
      <c r="H1588" s="59"/>
      <c r="I1588" s="58"/>
      <c r="K1588" s="78"/>
    </row>
    <row r="1589" s="37" customFormat="1" ht="12.75" spans="1:11">
      <c r="G1589" s="58"/>
      <c r="H1589" s="59"/>
      <c r="I1589" s="58" t="e">
        <f>ROUNDDOWN(G1589/H1589,0)</f>
        <v>#DIV/0!</v>
      </c>
      <c r="K1589" s="60"/>
    </row>
    <row r="1590" s="37" customFormat="1" ht="12.75" spans="1:11">
      <c r="G1590" s="58"/>
      <c r="H1590" s="59"/>
      <c r="I1590" s="58" t="e">
        <f>ROUNDDOWN(G1590/H1590,0)</f>
        <v>#DIV/0!</v>
      </c>
      <c r="K1590" s="60"/>
    </row>
    <row r="1591" s="37" customFormat="1" ht="12.75" spans="1:11">
      <c r="G1591" s="58"/>
      <c r="H1591" s="59"/>
      <c r="I1591" s="58"/>
      <c r="K1591" s="60"/>
    </row>
    <row r="1592" s="37" customFormat="1" ht="12.75" spans="1:11">
      <c r="G1592" s="58"/>
      <c r="H1592" s="59"/>
      <c r="I1592" s="58"/>
      <c r="K1592" s="60"/>
    </row>
    <row r="1593" s="37" customFormat="1" ht="12.75" spans="1:11">
      <c r="G1593" s="58"/>
      <c r="H1593" s="59"/>
      <c r="I1593" s="58"/>
      <c r="K1593" s="60"/>
    </row>
    <row r="1594" s="37" customFormat="1" ht="12.75" spans="1:11">
      <c r="G1594" s="58"/>
      <c r="H1594" s="59"/>
      <c r="I1594" s="58"/>
      <c r="K1594" s="60"/>
    </row>
    <row r="1595" s="54" customFormat="1" ht="12.75" spans="1:11">
      <c r="A1595" s="37"/>
      <c r="B1595" s="37"/>
      <c r="C1595" s="37"/>
      <c r="D1595" s="37"/>
      <c r="E1595" s="37"/>
      <c r="F1595" s="37"/>
      <c r="G1595" s="58"/>
      <c r="H1595" s="59"/>
      <c r="I1595" s="58"/>
      <c r="K1595" s="78"/>
    </row>
    <row r="1596" s="54" customFormat="1" ht="12.75" spans="1:11">
      <c r="A1596" s="37"/>
      <c r="B1596" s="37"/>
      <c r="C1596" s="37"/>
      <c r="D1596" s="37"/>
      <c r="E1596" s="37"/>
      <c r="F1596" s="37"/>
      <c r="G1596" s="58"/>
      <c r="H1596" s="59"/>
      <c r="I1596" s="58"/>
      <c r="K1596" s="78"/>
    </row>
    <row r="1597" s="54" customFormat="1" ht="12.75" spans="1:11">
      <c r="A1597" s="37"/>
      <c r="B1597" s="37"/>
      <c r="C1597" s="37"/>
      <c r="D1597" s="37"/>
      <c r="E1597" s="37"/>
      <c r="F1597" s="37"/>
      <c r="G1597" s="58"/>
      <c r="H1597" s="59"/>
      <c r="I1597" s="58"/>
      <c r="K1597" s="78"/>
    </row>
    <row r="1598" s="54" customFormat="1" ht="12.75" spans="1:11">
      <c r="A1598" s="37"/>
      <c r="B1598" s="37"/>
      <c r="C1598" s="37"/>
      <c r="D1598" s="37"/>
      <c r="E1598" s="37"/>
      <c r="F1598" s="37"/>
      <c r="G1598" s="58"/>
      <c r="H1598" s="59"/>
      <c r="I1598" s="58"/>
      <c r="K1598" s="78"/>
    </row>
    <row r="1599" s="37" customFormat="1" ht="12.75" spans="1:11">
      <c r="G1599" s="58"/>
      <c r="H1599" s="59"/>
      <c r="I1599" s="58"/>
      <c r="K1599" s="60"/>
    </row>
    <row r="1600" s="37" customFormat="1" ht="12.75" spans="1:11">
      <c r="G1600" s="58"/>
      <c r="H1600" s="59"/>
      <c r="I1600" s="58"/>
      <c r="K1600" s="60"/>
    </row>
    <row r="1601" s="37" customFormat="1" ht="12.75" spans="1:11">
      <c r="G1601" s="58"/>
      <c r="H1601" s="59"/>
      <c r="I1601" s="58"/>
      <c r="K1601" s="60"/>
    </row>
    <row r="1602" s="37" customFormat="1" ht="12.75" spans="1:11">
      <c r="G1602" s="58"/>
      <c r="H1602" s="59"/>
      <c r="I1602" s="58"/>
      <c r="K1602" s="60"/>
    </row>
    <row r="1603" s="37" customFormat="1" ht="12.75" spans="1:11">
      <c r="G1603" s="58"/>
      <c r="H1603" s="59"/>
      <c r="I1603" s="58"/>
      <c r="K1603" s="60"/>
    </row>
    <row r="1604" s="37" customFormat="1" ht="12.75" spans="1:11">
      <c r="G1604" s="58"/>
      <c r="H1604" s="59"/>
      <c r="I1604" s="58"/>
      <c r="K1604" s="60"/>
    </row>
    <row r="1605" s="54" customFormat="1" ht="12.75" spans="1:11">
      <c r="A1605" s="37"/>
      <c r="B1605" s="37"/>
      <c r="C1605" s="37"/>
      <c r="D1605" s="37"/>
      <c r="E1605" s="37"/>
      <c r="F1605" s="37"/>
      <c r="G1605" s="58"/>
      <c r="H1605" s="59"/>
      <c r="I1605" s="58"/>
      <c r="K1605" s="78"/>
    </row>
    <row r="1606" s="54" customFormat="1" ht="12.75" spans="1:11">
      <c r="A1606" s="37"/>
      <c r="B1606" s="37"/>
      <c r="C1606" s="37"/>
      <c r="D1606" s="37"/>
      <c r="E1606" s="37"/>
      <c r="F1606" s="37"/>
      <c r="G1606" s="58"/>
      <c r="H1606" s="59"/>
      <c r="I1606" s="58"/>
      <c r="K1606" s="78"/>
    </row>
    <row r="1607" s="54" customFormat="1" ht="12.75" spans="1:11">
      <c r="A1607" s="37"/>
      <c r="B1607" s="37"/>
      <c r="C1607" s="37"/>
      <c r="D1607" s="37"/>
      <c r="E1607" s="37"/>
      <c r="F1607" s="37"/>
      <c r="G1607" s="58"/>
      <c r="H1607" s="59"/>
      <c r="I1607" s="58"/>
      <c r="K1607" s="78"/>
    </row>
    <row r="1608" s="54" customFormat="1" ht="12.75" spans="1:11">
      <c r="A1608" s="37"/>
      <c r="B1608" s="37"/>
      <c r="C1608" s="37"/>
      <c r="D1608" s="37"/>
      <c r="E1608" s="37"/>
      <c r="F1608" s="37"/>
      <c r="G1608" s="58"/>
      <c r="H1608" s="59"/>
      <c r="I1608" s="58"/>
      <c r="K1608" s="78"/>
    </row>
    <row r="1609" s="54" customFormat="1" ht="12.75" spans="1:11">
      <c r="A1609" s="37"/>
      <c r="B1609" s="37"/>
      <c r="C1609" s="37"/>
      <c r="D1609" s="37"/>
      <c r="E1609" s="37"/>
      <c r="F1609" s="37"/>
      <c r="G1609" s="58"/>
      <c r="H1609" s="59"/>
      <c r="I1609" s="58"/>
      <c r="K1609" s="78"/>
    </row>
    <row r="1610" s="54" customFormat="1" ht="12.75" spans="1:11">
      <c r="A1610" s="37"/>
      <c r="B1610" s="37"/>
      <c r="C1610" s="37"/>
      <c r="D1610" s="37"/>
      <c r="E1610" s="37"/>
      <c r="F1610" s="37"/>
      <c r="G1610" s="58"/>
      <c r="H1610" s="59"/>
      <c r="I1610" s="58" t="e">
        <f>ROUNDDOWN(G1610/H1610,0)</f>
        <v>#DIV/0!</v>
      </c>
      <c r="K1610" s="78"/>
    </row>
    <row r="1611" s="54" customFormat="1" ht="12.75" spans="1:11">
      <c r="A1611" s="37"/>
      <c r="B1611" s="37"/>
      <c r="C1611" s="37"/>
      <c r="D1611" s="37"/>
      <c r="E1611" s="37"/>
      <c r="F1611" s="37"/>
      <c r="G1611" s="58"/>
      <c r="H1611" s="59"/>
      <c r="I1611" s="58" t="e">
        <f>ROUNDDOWN(G1611/H1611,0)</f>
        <v>#DIV/0!</v>
      </c>
      <c r="K1611" s="78"/>
    </row>
    <row r="1612" s="54" customFormat="1" ht="12.75" spans="1:11">
      <c r="A1612" s="37"/>
      <c r="B1612" s="37"/>
      <c r="C1612" s="37"/>
      <c r="D1612" s="37"/>
      <c r="E1612" s="37"/>
      <c r="F1612" s="37"/>
      <c r="G1612" s="58"/>
      <c r="H1612" s="59"/>
      <c r="I1612" s="58"/>
      <c r="K1612" s="78"/>
    </row>
    <row r="1613" s="37" customFormat="1" ht="12.75" spans="1:11">
      <c r="G1613" s="58"/>
      <c r="H1613" s="59"/>
      <c r="I1613" s="58"/>
      <c r="K1613" s="60"/>
    </row>
    <row r="1614" s="37" customFormat="1" ht="12.75" spans="1:11">
      <c r="G1614" s="58"/>
      <c r="H1614" s="59"/>
      <c r="I1614" s="58"/>
      <c r="K1614" s="60"/>
    </row>
    <row r="1615" s="37" customFormat="1" ht="12.75" spans="1:11">
      <c r="G1615" s="58"/>
      <c r="H1615" s="59"/>
      <c r="I1615" s="58"/>
      <c r="K1615" s="60"/>
    </row>
    <row r="1616" s="37" customFormat="1" ht="12.75" spans="1:11">
      <c r="G1616" s="58"/>
      <c r="H1616" s="59"/>
      <c r="I1616" s="58"/>
      <c r="K1616" s="60"/>
    </row>
    <row r="1617" s="37" customFormat="1" ht="12.75" spans="1:11">
      <c r="G1617" s="58"/>
      <c r="H1617" s="59"/>
      <c r="I1617" s="58"/>
      <c r="K1617" s="60"/>
    </row>
    <row r="1618" s="37" customFormat="1" ht="12.75" spans="1:11">
      <c r="G1618" s="58"/>
      <c r="H1618" s="59"/>
      <c r="I1618" s="58"/>
      <c r="K1618" s="60"/>
    </row>
    <row r="1619" s="54" customFormat="1" ht="12.75" spans="1:11">
      <c r="A1619" s="37"/>
      <c r="B1619" s="37"/>
      <c r="C1619" s="37"/>
      <c r="D1619" s="37"/>
      <c r="E1619" s="37"/>
      <c r="F1619" s="37"/>
      <c r="G1619" s="58"/>
      <c r="H1619" s="59"/>
      <c r="I1619" s="58"/>
      <c r="K1619" s="78"/>
    </row>
    <row r="1620" s="54" customFormat="1" ht="12.75" spans="1:11">
      <c r="A1620" s="37"/>
      <c r="B1620" s="37"/>
      <c r="C1620" s="37"/>
      <c r="D1620" s="37"/>
      <c r="E1620" s="37"/>
      <c r="F1620" s="37"/>
      <c r="G1620" s="58"/>
      <c r="H1620" s="59"/>
      <c r="I1620" s="58"/>
      <c r="K1620" s="78"/>
    </row>
    <row r="1621" s="54" customFormat="1" ht="12.75" spans="1:11">
      <c r="A1621" s="37"/>
      <c r="B1621" s="37"/>
      <c r="C1621" s="37"/>
      <c r="D1621" s="37"/>
      <c r="E1621" s="37"/>
      <c r="F1621" s="37"/>
      <c r="G1621" s="58"/>
      <c r="H1621" s="59"/>
      <c r="I1621" s="58"/>
      <c r="K1621" s="78"/>
    </row>
    <row r="1622" s="54" customFormat="1" ht="12.75" spans="1:11">
      <c r="A1622" s="37"/>
      <c r="B1622" s="37"/>
      <c r="C1622" s="37"/>
      <c r="D1622" s="37"/>
      <c r="E1622" s="37"/>
      <c r="F1622" s="37"/>
      <c r="G1622" s="58"/>
      <c r="H1622" s="59"/>
      <c r="I1622" s="58"/>
      <c r="K1622" s="78"/>
    </row>
    <row r="1623" s="54" customFormat="1" ht="12.75" spans="1:11">
      <c r="A1623" s="37"/>
      <c r="B1623" s="37"/>
      <c r="C1623" s="37"/>
      <c r="D1623" s="37"/>
      <c r="E1623" s="37"/>
      <c r="F1623" s="37"/>
      <c r="G1623" s="58"/>
      <c r="H1623" s="59"/>
      <c r="I1623" s="58"/>
      <c r="K1623" s="78"/>
    </row>
    <row r="1624" s="37" customFormat="1" ht="12.75" spans="1:11">
      <c r="G1624" s="58"/>
      <c r="H1624" s="59"/>
      <c r="I1624" s="58"/>
      <c r="K1624" s="60"/>
    </row>
    <row r="1625" s="37" customFormat="1" ht="12.75" spans="1:11">
      <c r="G1625" s="58"/>
      <c r="H1625" s="59"/>
      <c r="I1625" s="58"/>
      <c r="K1625" s="60"/>
    </row>
    <row r="1626" s="37" customFormat="1" ht="12.75" spans="1:11">
      <c r="G1626" s="58"/>
      <c r="H1626" s="59"/>
      <c r="I1626" s="58"/>
      <c r="K1626" s="60"/>
    </row>
    <row r="1627" s="37" customFormat="1" ht="12.75" spans="1:11">
      <c r="G1627" s="58"/>
      <c r="H1627" s="59"/>
      <c r="I1627" s="58"/>
      <c r="K1627" s="60"/>
    </row>
    <row r="1628" s="37" customFormat="1" ht="12.75" spans="1:11">
      <c r="G1628" s="58"/>
      <c r="H1628" s="59"/>
      <c r="I1628" s="58"/>
      <c r="K1628" s="60"/>
    </row>
    <row r="1629" s="37" customFormat="1" ht="12.75" spans="1:11">
      <c r="G1629" s="58"/>
      <c r="H1629" s="59"/>
      <c r="I1629" s="58"/>
      <c r="K1629" s="60"/>
    </row>
    <row r="1630" s="54" customFormat="1" ht="12.75" spans="1:11">
      <c r="A1630" s="37"/>
      <c r="B1630" s="37"/>
      <c r="C1630" s="37"/>
      <c r="D1630" s="37"/>
      <c r="E1630" s="37"/>
      <c r="F1630" s="37"/>
      <c r="G1630" s="58"/>
      <c r="H1630" s="59"/>
      <c r="I1630" s="58" t="e">
        <f>ROUNDDOWN(G1630/H1630,0)</f>
        <v>#DIV/0!</v>
      </c>
      <c r="K1630" s="78"/>
    </row>
    <row r="1631" s="54" customFormat="1" ht="12.75" spans="1:11">
      <c r="A1631" s="37"/>
      <c r="B1631" s="37"/>
      <c r="C1631" s="37"/>
      <c r="D1631" s="37"/>
      <c r="E1631" s="37"/>
      <c r="F1631" s="37"/>
      <c r="G1631" s="58"/>
      <c r="H1631" s="59"/>
      <c r="I1631" s="58"/>
      <c r="K1631" s="78"/>
    </row>
    <row r="1632" s="54" customFormat="1" ht="12.75" spans="1:11">
      <c r="A1632" s="37"/>
      <c r="B1632" s="37"/>
      <c r="C1632" s="37"/>
      <c r="D1632" s="37"/>
      <c r="E1632" s="37"/>
      <c r="F1632" s="37"/>
      <c r="G1632" s="58"/>
      <c r="H1632" s="59"/>
      <c r="I1632" s="58"/>
      <c r="K1632" s="78"/>
    </row>
    <row r="1633" s="54" customFormat="1" ht="12.75" spans="1:11">
      <c r="A1633" s="37"/>
      <c r="B1633" s="37"/>
      <c r="C1633" s="37"/>
      <c r="D1633" s="37"/>
      <c r="E1633" s="37"/>
      <c r="F1633" s="37"/>
      <c r="G1633" s="58"/>
      <c r="H1633" s="59"/>
      <c r="I1633" s="58"/>
      <c r="K1633" s="78"/>
    </row>
    <row r="1634" s="54" customFormat="1" ht="12.75" spans="1:11">
      <c r="A1634" s="37"/>
      <c r="B1634" s="37"/>
      <c r="C1634" s="37"/>
      <c r="D1634" s="37"/>
      <c r="E1634" s="37"/>
      <c r="F1634" s="37"/>
      <c r="G1634" s="58"/>
      <c r="H1634" s="59"/>
      <c r="I1634" s="58"/>
      <c r="K1634" s="78"/>
    </row>
    <row r="1635" s="37" customFormat="1" ht="12.75" spans="1:11">
      <c r="G1635" s="58"/>
      <c r="H1635" s="59"/>
      <c r="I1635" s="58"/>
      <c r="K1635" s="60"/>
    </row>
    <row r="1636" s="37" customFormat="1" ht="12.75" spans="1:11">
      <c r="G1636" s="58"/>
      <c r="H1636" s="59"/>
      <c r="I1636" s="58"/>
      <c r="K1636" s="60"/>
    </row>
    <row r="1637" s="37" customFormat="1" ht="12.75" spans="1:11">
      <c r="G1637" s="58"/>
      <c r="H1637" s="59"/>
      <c r="I1637" s="58"/>
      <c r="K1637" s="60"/>
    </row>
    <row r="1638" s="37" customFormat="1" ht="12.75" spans="1:11">
      <c r="G1638" s="58"/>
      <c r="H1638" s="59"/>
      <c r="I1638" s="58"/>
      <c r="K1638" s="60"/>
    </row>
    <row r="1639" s="37" customFormat="1" ht="12.75" spans="1:11">
      <c r="G1639" s="58"/>
      <c r="H1639" s="59"/>
      <c r="I1639" s="58"/>
      <c r="K1639" s="60"/>
    </row>
    <row r="1640" s="37" customFormat="1" ht="12.75" spans="1:11">
      <c r="G1640" s="58"/>
      <c r="H1640" s="59"/>
      <c r="I1640" s="58"/>
      <c r="K1640" s="60"/>
    </row>
    <row r="1641" s="54" customFormat="1" ht="12.75" spans="1:11">
      <c r="A1641" s="37"/>
      <c r="B1641" s="37"/>
      <c r="C1641" s="37"/>
      <c r="D1641" s="37"/>
      <c r="E1641" s="37"/>
      <c r="F1641" s="37"/>
      <c r="G1641" s="58"/>
      <c r="H1641" s="59"/>
      <c r="I1641" s="58"/>
      <c r="K1641" s="78"/>
    </row>
    <row r="1642" s="54" customFormat="1" ht="12.75" spans="1:11">
      <c r="A1642" s="37"/>
      <c r="B1642" s="37"/>
      <c r="C1642" s="37"/>
      <c r="D1642" s="37"/>
      <c r="E1642" s="37"/>
      <c r="F1642" s="37"/>
      <c r="G1642" s="58"/>
      <c r="H1642" s="59"/>
      <c r="I1642" s="58"/>
      <c r="K1642" s="78"/>
    </row>
    <row r="1643" s="54" customFormat="1" ht="12.75" spans="1:11">
      <c r="A1643" s="37"/>
      <c r="B1643" s="37"/>
      <c r="C1643" s="37"/>
      <c r="D1643" s="37"/>
      <c r="E1643" s="37"/>
      <c r="F1643" s="37"/>
      <c r="G1643" s="58"/>
      <c r="H1643" s="59"/>
      <c r="I1643" s="58"/>
      <c r="K1643" s="78"/>
    </row>
    <row r="1644" s="54" customFormat="1" ht="12.75" spans="1:11">
      <c r="A1644" s="37"/>
      <c r="B1644" s="37"/>
      <c r="C1644" s="37"/>
      <c r="D1644" s="37"/>
      <c r="E1644" s="37"/>
      <c r="F1644" s="37"/>
      <c r="G1644" s="58"/>
      <c r="H1644" s="59"/>
      <c r="I1644" s="58"/>
      <c r="K1644" s="78"/>
    </row>
    <row r="1645" s="37" customFormat="1" ht="12.75" spans="1:11">
      <c r="G1645" s="58"/>
      <c r="H1645" s="59"/>
      <c r="I1645" s="58"/>
      <c r="K1645" s="60"/>
    </row>
    <row r="1646" s="37" customFormat="1" ht="12.75" spans="1:11">
      <c r="G1646" s="58"/>
      <c r="H1646" s="59"/>
      <c r="I1646" s="58" t="e">
        <f>ROUNDDOWN(G1646/H1646,0)</f>
        <v>#DIV/0!</v>
      </c>
      <c r="K1646" s="60"/>
    </row>
    <row r="1647" s="37" customFormat="1" ht="12.75" spans="1:11">
      <c r="G1647" s="58"/>
      <c r="H1647" s="59"/>
      <c r="I1647" s="58" t="e">
        <f>ROUNDDOWN(G1647/H1647,0)</f>
        <v>#DIV/0!</v>
      </c>
      <c r="K1647" s="60"/>
    </row>
    <row r="1648" s="37" customFormat="1" ht="12.75" spans="1:11">
      <c r="G1648" s="58"/>
      <c r="H1648" s="59"/>
      <c r="I1648" s="58"/>
      <c r="K1648" s="60"/>
    </row>
    <row r="1649" s="37" customFormat="1" ht="12.75" spans="1:11">
      <c r="G1649" s="58"/>
      <c r="H1649" s="59"/>
      <c r="I1649" s="58"/>
      <c r="K1649" s="60"/>
    </row>
    <row r="1650" s="37" customFormat="1" ht="12.75" spans="1:11">
      <c r="G1650" s="58"/>
      <c r="H1650" s="59"/>
      <c r="I1650" s="58"/>
      <c r="K1650" s="60"/>
    </row>
    <row r="1651" s="54" customFormat="1" ht="12.75" spans="1:11">
      <c r="A1651" s="37"/>
      <c r="B1651" s="37"/>
      <c r="C1651" s="37"/>
      <c r="D1651" s="37"/>
      <c r="E1651" s="37"/>
      <c r="F1651" s="37"/>
      <c r="G1651" s="58"/>
      <c r="H1651" s="59"/>
      <c r="I1651" s="58"/>
      <c r="K1651" s="78"/>
    </row>
    <row r="1652" s="54" customFormat="1" ht="12.75" spans="1:11">
      <c r="A1652" s="37"/>
      <c r="B1652" s="37"/>
      <c r="C1652" s="37"/>
      <c r="D1652" s="37"/>
      <c r="E1652" s="37"/>
      <c r="F1652" s="37"/>
      <c r="G1652" s="58"/>
      <c r="H1652" s="59"/>
      <c r="I1652" s="58"/>
      <c r="K1652" s="78"/>
    </row>
    <row r="1653" s="54" customFormat="1" ht="12.75" spans="1:11">
      <c r="A1653" s="37"/>
      <c r="B1653" s="37"/>
      <c r="C1653" s="37"/>
      <c r="D1653" s="37"/>
      <c r="E1653" s="37"/>
      <c r="F1653" s="37"/>
      <c r="G1653" s="58"/>
      <c r="H1653" s="59"/>
      <c r="I1653" s="58"/>
      <c r="K1653" s="78"/>
    </row>
    <row r="1654" s="54" customFormat="1" ht="12.75" spans="1:11">
      <c r="A1654" s="37"/>
      <c r="B1654" s="37"/>
      <c r="C1654" s="37"/>
      <c r="D1654" s="37"/>
      <c r="E1654" s="37"/>
      <c r="F1654" s="37"/>
      <c r="G1654" s="58"/>
      <c r="H1654" s="59"/>
      <c r="I1654" s="58"/>
      <c r="K1654" s="78"/>
    </row>
    <row r="1655" s="37" customFormat="1" ht="12.75" spans="1:11">
      <c r="G1655" s="58"/>
      <c r="H1655" s="59"/>
      <c r="I1655" s="58"/>
      <c r="K1655" s="60"/>
    </row>
    <row r="1656" s="37" customFormat="1" ht="12.75" spans="1:11">
      <c r="G1656" s="58"/>
      <c r="H1656" s="59"/>
      <c r="I1656" s="58"/>
      <c r="K1656" s="60"/>
    </row>
    <row r="1657" s="37" customFormat="1" ht="12.75" spans="1:11">
      <c r="G1657" s="58"/>
      <c r="H1657" s="59"/>
      <c r="I1657" s="58"/>
      <c r="K1657" s="60"/>
    </row>
    <row r="1658" s="37" customFormat="1" ht="12.75" spans="1:11">
      <c r="G1658" s="58"/>
      <c r="H1658" s="59"/>
      <c r="I1658" s="58"/>
      <c r="K1658" s="60"/>
    </row>
    <row r="1659" s="37" customFormat="1" ht="12.75" spans="1:11">
      <c r="G1659" s="58"/>
      <c r="H1659" s="59"/>
      <c r="I1659" s="58"/>
      <c r="K1659" s="60"/>
    </row>
    <row r="1660" s="37" customFormat="1" ht="12.75" spans="1:11">
      <c r="G1660" s="58"/>
      <c r="H1660" s="59"/>
      <c r="I1660" s="58"/>
      <c r="K1660" s="60"/>
    </row>
    <row r="1661" s="54" customFormat="1" ht="12.75" spans="1:11">
      <c r="A1661" s="37"/>
      <c r="B1661" s="37"/>
      <c r="C1661" s="37"/>
      <c r="D1661" s="37"/>
      <c r="E1661" s="37"/>
      <c r="F1661" s="37"/>
      <c r="G1661" s="58"/>
      <c r="H1661" s="59"/>
      <c r="I1661" s="58"/>
      <c r="K1661" s="78"/>
    </row>
    <row r="1662" s="54" customFormat="1" ht="12.75" spans="1:11">
      <c r="A1662" s="37"/>
      <c r="B1662" s="37"/>
      <c r="C1662" s="37"/>
      <c r="D1662" s="37"/>
      <c r="E1662" s="37"/>
      <c r="F1662" s="37"/>
      <c r="G1662" s="58"/>
      <c r="H1662" s="59"/>
      <c r="I1662" s="58"/>
      <c r="K1662" s="78"/>
    </row>
    <row r="1663" s="54" customFormat="1" ht="12.75" spans="1:11">
      <c r="A1663" s="37"/>
      <c r="B1663" s="37"/>
      <c r="C1663" s="37"/>
      <c r="D1663" s="37"/>
      <c r="E1663" s="37"/>
      <c r="F1663" s="37"/>
      <c r="G1663" s="58"/>
      <c r="H1663" s="59"/>
      <c r="I1663" s="58"/>
      <c r="K1663" s="78"/>
    </row>
    <row r="1664" s="54" customFormat="1" ht="12.75" spans="1:11">
      <c r="A1664" s="37"/>
      <c r="B1664" s="37"/>
      <c r="C1664" s="37"/>
      <c r="D1664" s="37"/>
      <c r="E1664" s="37"/>
      <c r="F1664" s="37"/>
      <c r="G1664" s="58"/>
      <c r="H1664" s="59"/>
      <c r="I1664" s="58"/>
      <c r="K1664" s="78"/>
    </row>
    <row r="1665" s="37" customFormat="1" ht="12.75" spans="1:11">
      <c r="G1665" s="58"/>
      <c r="H1665" s="59"/>
      <c r="I1665" s="58" t="e">
        <f>ROUNDDOWN(G1665/H1665,0)</f>
        <v>#DIV/0!</v>
      </c>
      <c r="K1665" s="60"/>
    </row>
    <row r="1666" s="37" customFormat="1" ht="12.75" spans="1:11">
      <c r="G1666" s="58"/>
      <c r="H1666" s="59"/>
      <c r="I1666" s="58"/>
      <c r="K1666" s="60"/>
    </row>
    <row r="1667" s="37" customFormat="1" ht="12.75" spans="1:11">
      <c r="G1667" s="58"/>
      <c r="H1667" s="59"/>
      <c r="I1667" s="58"/>
      <c r="K1667" s="60"/>
    </row>
    <row r="1668" s="37" customFormat="1" ht="12.75" spans="1:11">
      <c r="G1668" s="58"/>
      <c r="H1668" s="59"/>
      <c r="I1668" s="58"/>
      <c r="K1668" s="60"/>
    </row>
    <row r="1669" s="37" customFormat="1" ht="12.75" spans="1:11">
      <c r="G1669" s="58"/>
      <c r="H1669" s="59"/>
      <c r="I1669" s="58"/>
      <c r="K1669" s="60"/>
    </row>
    <row r="1670" s="37" customFormat="1" ht="12.75" spans="1:11">
      <c r="G1670" s="58"/>
      <c r="H1670" s="59"/>
      <c r="I1670" s="58"/>
      <c r="K1670" s="60"/>
    </row>
    <row r="1671" s="54" customFormat="1" ht="12.75" spans="1:11">
      <c r="A1671" s="37"/>
      <c r="B1671" s="37"/>
      <c r="C1671" s="37"/>
      <c r="D1671" s="37"/>
      <c r="E1671" s="37"/>
      <c r="F1671" s="37"/>
      <c r="G1671" s="58"/>
      <c r="H1671" s="59"/>
      <c r="I1671" s="58"/>
      <c r="K1671" s="78"/>
    </row>
    <row r="1672" s="54" customFormat="1" ht="12.75" spans="1:11">
      <c r="A1672" s="37"/>
      <c r="B1672" s="37"/>
      <c r="C1672" s="37"/>
      <c r="D1672" s="37"/>
      <c r="E1672" s="37"/>
      <c r="F1672" s="37"/>
      <c r="G1672" s="58"/>
      <c r="H1672" s="59"/>
      <c r="I1672" s="58"/>
      <c r="K1672" s="78"/>
    </row>
    <row r="1673" s="54" customFormat="1" ht="12.75" spans="1:11">
      <c r="A1673" s="37"/>
      <c r="B1673" s="37"/>
      <c r="C1673" s="37"/>
      <c r="D1673" s="37"/>
      <c r="E1673" s="37"/>
      <c r="F1673" s="37"/>
      <c r="G1673" s="58"/>
      <c r="H1673" s="59"/>
      <c r="I1673" s="58" t="e">
        <f>ROUNDDOWN(G1673/H1673,0)</f>
        <v>#DIV/0!</v>
      </c>
      <c r="K1673" s="78"/>
    </row>
    <row r="1674" s="54" customFormat="1" ht="12.75" spans="1:11">
      <c r="A1674" s="37"/>
      <c r="B1674" s="37"/>
      <c r="C1674" s="37"/>
      <c r="D1674" s="37"/>
      <c r="E1674" s="37"/>
      <c r="F1674" s="37"/>
      <c r="G1674" s="58"/>
      <c r="H1674" s="59"/>
      <c r="I1674" s="58" t="e">
        <f>ROUNDDOWN(G1674/H1674,0)</f>
        <v>#DIV/0!</v>
      </c>
      <c r="K1674" s="78"/>
    </row>
    <row r="1675" s="37" customFormat="1" ht="12.75" spans="1:11">
      <c r="G1675" s="58"/>
      <c r="H1675" s="59"/>
      <c r="I1675" s="58"/>
      <c r="K1675" s="60"/>
    </row>
    <row r="1676" s="37" customFormat="1" ht="12.75" spans="1:11">
      <c r="G1676" s="58"/>
      <c r="H1676" s="59"/>
      <c r="I1676" s="58"/>
      <c r="K1676" s="60"/>
    </row>
    <row r="1677" s="37" customFormat="1" ht="12.75" spans="1:11">
      <c r="G1677" s="58"/>
      <c r="H1677" s="59"/>
      <c r="I1677" s="58"/>
      <c r="K1677" s="60"/>
    </row>
    <row r="1678" s="37" customFormat="1" ht="12.75" spans="1:11">
      <c r="G1678" s="58"/>
      <c r="H1678" s="59"/>
      <c r="I1678" s="58"/>
      <c r="K1678" s="60"/>
    </row>
    <row r="1679" s="37" customFormat="1" ht="12.75" spans="1:11">
      <c r="G1679" s="58"/>
      <c r="H1679" s="59"/>
      <c r="I1679" s="58"/>
      <c r="K1679" s="60"/>
    </row>
    <row r="1680" s="37" customFormat="1" ht="12.75" spans="1:11">
      <c r="G1680" s="58"/>
      <c r="H1680" s="59"/>
      <c r="I1680" s="58"/>
      <c r="K1680" s="60"/>
    </row>
    <row r="1681" s="54" customFormat="1" ht="12.75" spans="1:11">
      <c r="A1681" s="37"/>
      <c r="B1681" s="37"/>
      <c r="C1681" s="37"/>
      <c r="D1681" s="37"/>
      <c r="E1681" s="37"/>
      <c r="F1681" s="37"/>
      <c r="G1681" s="58"/>
      <c r="H1681" s="59"/>
      <c r="I1681" s="58"/>
      <c r="K1681" s="78"/>
    </row>
    <row r="1682" s="54" customFormat="1" ht="12.75" spans="1:11">
      <c r="A1682" s="37"/>
      <c r="B1682" s="37"/>
      <c r="C1682" s="37"/>
      <c r="D1682" s="37"/>
      <c r="E1682" s="37"/>
      <c r="F1682" s="37"/>
      <c r="G1682" s="58"/>
      <c r="H1682" s="59"/>
      <c r="I1682" s="58"/>
      <c r="K1682" s="78"/>
    </row>
    <row r="1683" s="54" customFormat="1" ht="12.75" spans="1:11">
      <c r="A1683" s="37"/>
      <c r="B1683" s="37"/>
      <c r="C1683" s="37"/>
      <c r="D1683" s="37"/>
      <c r="E1683" s="37"/>
      <c r="F1683" s="37"/>
      <c r="G1683" s="58"/>
      <c r="H1683" s="59"/>
      <c r="I1683" s="58"/>
      <c r="K1683" s="78"/>
    </row>
    <row r="1684" s="54" customFormat="1" ht="12.75" spans="1:11">
      <c r="C1684" s="65"/>
      <c r="D1684" s="65"/>
      <c r="F1684" s="37"/>
      <c r="G1684" s="58"/>
      <c r="H1684" s="66"/>
      <c r="I1684" s="58"/>
      <c r="K1684" s="78"/>
    </row>
    <row r="1685" s="54" customFormat="1" ht="12.75" spans="1:11">
      <c r="A1685" s="37"/>
      <c r="B1685" s="37"/>
      <c r="C1685" s="64"/>
      <c r="D1685" s="64"/>
      <c r="E1685" s="37"/>
      <c r="F1685" s="37"/>
      <c r="G1685" s="58"/>
      <c r="H1685" s="59"/>
      <c r="I1685" s="58"/>
      <c r="K1685" s="78"/>
    </row>
    <row r="1686" s="37" customFormat="1" ht="12.75" spans="1:11">
      <c r="C1686" s="64"/>
      <c r="D1686" s="64"/>
      <c r="G1686" s="58"/>
      <c r="H1686" s="59"/>
      <c r="I1686" s="58"/>
      <c r="K1686" s="60"/>
    </row>
    <row r="1687" s="37" customFormat="1" ht="12.75" spans="1:11">
      <c r="C1687" s="64"/>
      <c r="D1687" s="64"/>
      <c r="G1687" s="58"/>
      <c r="H1687" s="59"/>
      <c r="I1687" s="58"/>
      <c r="K1687" s="60"/>
    </row>
    <row r="1688" s="37" customFormat="1" ht="12.75" spans="1:11">
      <c r="C1688" s="64"/>
      <c r="D1688" s="64"/>
      <c r="G1688" s="58"/>
      <c r="H1688" s="59"/>
      <c r="I1688" s="58"/>
      <c r="K1688" s="60"/>
    </row>
    <row r="1689" s="37" customFormat="1" ht="12.75" spans="1:11">
      <c r="C1689" s="64"/>
      <c r="D1689" s="64"/>
      <c r="G1689" s="58"/>
      <c r="H1689" s="59"/>
      <c r="I1689" s="58"/>
      <c r="K1689" s="60"/>
    </row>
    <row r="1690" s="37" customFormat="1" ht="12.75" spans="1:11">
      <c r="C1690" s="64"/>
      <c r="D1690" s="64"/>
      <c r="G1690" s="58"/>
      <c r="H1690" s="59"/>
      <c r="I1690" s="58"/>
      <c r="K1690" s="60"/>
    </row>
    <row r="1691" s="37" customFormat="1" ht="12.75" spans="1:11">
      <c r="C1691" s="64"/>
      <c r="D1691" s="64"/>
      <c r="G1691" s="58"/>
      <c r="H1691" s="59"/>
      <c r="I1691" s="58"/>
      <c r="K1691" s="60"/>
    </row>
    <row r="1692" s="54" customFormat="1" ht="12.75" spans="1:11">
      <c r="A1692" s="37"/>
      <c r="B1692" s="37"/>
      <c r="C1692" s="64"/>
      <c r="D1692" s="64"/>
      <c r="E1692" s="37"/>
      <c r="F1692" s="37"/>
      <c r="G1692" s="58"/>
      <c r="H1692" s="59"/>
      <c r="I1692" s="58"/>
      <c r="K1692" s="78"/>
    </row>
    <row r="1693" s="54" customFormat="1" ht="12.75" spans="1:11">
      <c r="A1693" s="37"/>
      <c r="B1693" s="37"/>
      <c r="C1693" s="64"/>
      <c r="D1693" s="64"/>
      <c r="E1693" s="37"/>
      <c r="F1693" s="37"/>
      <c r="G1693" s="58"/>
      <c r="H1693" s="59"/>
      <c r="I1693" s="58"/>
      <c r="K1693" s="78"/>
    </row>
    <row r="1694" s="54" customFormat="1" ht="12.75" spans="1:11">
      <c r="A1694" s="37"/>
      <c r="B1694" s="37"/>
      <c r="C1694" s="64"/>
      <c r="D1694" s="64"/>
      <c r="E1694" s="37"/>
      <c r="F1694" s="37"/>
      <c r="G1694" s="58"/>
      <c r="H1694" s="59"/>
      <c r="I1694" s="58"/>
      <c r="K1694" s="78"/>
    </row>
    <row r="1695" s="54" customFormat="1" ht="12.75" spans="1:11">
      <c r="A1695" s="37"/>
      <c r="B1695" s="37"/>
      <c r="C1695" s="64"/>
      <c r="D1695" s="64"/>
      <c r="E1695" s="37"/>
      <c r="F1695" s="37"/>
      <c r="G1695" s="58"/>
      <c r="H1695" s="59"/>
      <c r="I1695" s="58"/>
      <c r="K1695" s="78"/>
    </row>
    <row r="1696" s="54" customFormat="1" ht="12.75" spans="1:11">
      <c r="A1696" s="37"/>
      <c r="B1696" s="37"/>
      <c r="C1696" s="64"/>
      <c r="D1696" s="64"/>
      <c r="E1696" s="37"/>
      <c r="F1696" s="37"/>
      <c r="G1696" s="58"/>
      <c r="H1696" s="59"/>
      <c r="I1696" s="58"/>
      <c r="K1696" s="78"/>
    </row>
    <row r="1697" s="54" customFormat="1" ht="12.75" spans="1:14">
      <c r="A1697" s="37"/>
      <c r="B1697" s="37"/>
      <c r="C1697" s="64"/>
      <c r="D1697" s="64"/>
      <c r="E1697" s="37"/>
      <c r="F1697" s="37"/>
      <c r="G1697" s="58"/>
      <c r="H1697" s="59"/>
      <c r="I1697" s="58"/>
      <c r="K1697" s="78"/>
    </row>
    <row r="1698" s="37" customFormat="1" ht="12.75" spans="1:14">
      <c r="C1698" s="64"/>
      <c r="D1698" s="64"/>
      <c r="G1698" s="58"/>
      <c r="H1698" s="59"/>
      <c r="I1698" s="58"/>
      <c r="K1698" s="60"/>
      <c r="N1698" s="62"/>
    </row>
    <row r="1699" s="37" customFormat="1" ht="12.75" spans="1:14">
      <c r="C1699" s="64"/>
      <c r="D1699" s="64"/>
      <c r="G1699" s="58"/>
      <c r="H1699" s="59"/>
      <c r="I1699" s="58"/>
      <c r="K1699" s="60"/>
      <c r="N1699" s="62"/>
    </row>
    <row r="1700" s="37" customFormat="1" ht="12.75" spans="1:14">
      <c r="C1700" s="64"/>
      <c r="D1700" s="64"/>
      <c r="G1700" s="58"/>
      <c r="H1700" s="59"/>
      <c r="I1700" s="58"/>
      <c r="K1700" s="60"/>
      <c r="N1700" s="62"/>
    </row>
    <row r="1701" s="37" customFormat="1" ht="12.75" spans="1:14">
      <c r="C1701" s="64"/>
      <c r="D1701" s="64"/>
      <c r="G1701" s="58"/>
      <c r="H1701" s="59"/>
      <c r="I1701" s="58"/>
      <c r="K1701" s="60"/>
      <c r="N1701" s="62"/>
    </row>
    <row r="1702" s="37" customFormat="1" ht="12.75" spans="1:14">
      <c r="C1702" s="64"/>
      <c r="D1702" s="64"/>
      <c r="G1702" s="58"/>
      <c r="H1702" s="59"/>
      <c r="I1702" s="58"/>
      <c r="K1702" s="60"/>
      <c r="N1702" s="62"/>
    </row>
    <row r="1703" s="37" customFormat="1" ht="12.75" spans="1:14">
      <c r="C1703" s="64"/>
      <c r="D1703" s="64"/>
      <c r="G1703" s="58"/>
      <c r="H1703" s="59"/>
      <c r="I1703" s="58"/>
      <c r="K1703" s="60"/>
      <c r="N1703" s="62"/>
    </row>
    <row r="1704" s="54" customFormat="1" ht="12.75" spans="1:14">
      <c r="A1704" s="37"/>
      <c r="B1704" s="37"/>
      <c r="C1704" s="64"/>
      <c r="D1704" s="64"/>
      <c r="E1704" s="37"/>
      <c r="F1704" s="37"/>
      <c r="G1704" s="58"/>
      <c r="H1704" s="59"/>
      <c r="I1704" s="58"/>
      <c r="K1704" s="78"/>
      <c r="N1704" s="77"/>
    </row>
    <row r="1705" s="54" customFormat="1" ht="12.75" spans="1:14">
      <c r="A1705" s="37"/>
      <c r="B1705" s="37"/>
      <c r="C1705" s="64"/>
      <c r="D1705" s="64"/>
      <c r="E1705" s="37"/>
      <c r="F1705" s="37"/>
      <c r="G1705" s="58"/>
      <c r="H1705" s="59"/>
      <c r="I1705" s="58"/>
      <c r="K1705" s="78"/>
      <c r="N1705" s="77"/>
    </row>
    <row r="1706" s="54" customFormat="1" ht="12.75" spans="1:14">
      <c r="A1706" s="37"/>
      <c r="B1706" s="37"/>
      <c r="C1706" s="64"/>
      <c r="D1706" s="64"/>
      <c r="E1706" s="37"/>
      <c r="F1706" s="37"/>
      <c r="G1706" s="58"/>
      <c r="H1706" s="59"/>
      <c r="I1706" s="58"/>
      <c r="K1706" s="78"/>
      <c r="N1706" s="77"/>
    </row>
    <row r="1707" s="54" customFormat="1" ht="12.75" spans="1:14">
      <c r="A1707" s="37"/>
      <c r="B1707" s="37"/>
      <c r="C1707" s="64"/>
      <c r="D1707" s="64"/>
      <c r="E1707" s="37"/>
      <c r="F1707" s="37"/>
      <c r="G1707" s="58"/>
      <c r="H1707" s="59"/>
      <c r="I1707" s="58"/>
      <c r="K1707" s="78"/>
      <c r="N1707" s="77"/>
    </row>
    <row r="1708" s="37" customFormat="1" ht="12.75" spans="1:14">
      <c r="C1708" s="64"/>
      <c r="D1708" s="64"/>
      <c r="G1708" s="58"/>
      <c r="H1708" s="59"/>
      <c r="I1708" s="58"/>
      <c r="K1708" s="60"/>
      <c r="N1708" s="62"/>
    </row>
    <row r="1709" s="37" customFormat="1" ht="12.75" spans="1:14">
      <c r="C1709" s="64"/>
      <c r="D1709" s="64"/>
      <c r="G1709" s="58"/>
      <c r="H1709" s="59"/>
      <c r="I1709" s="58"/>
      <c r="K1709" s="60"/>
      <c r="N1709" s="62"/>
    </row>
    <row r="1710" s="37" customFormat="1" ht="12.75" spans="1:14">
      <c r="C1710" s="64"/>
      <c r="D1710" s="64"/>
      <c r="G1710" s="58"/>
      <c r="H1710" s="59"/>
      <c r="I1710" s="58"/>
      <c r="K1710" s="60"/>
      <c r="N1710" s="62"/>
    </row>
    <row r="1711" s="37" customFormat="1" ht="12.75" spans="1:14">
      <c r="C1711" s="64"/>
      <c r="D1711" s="64"/>
      <c r="G1711" s="58"/>
      <c r="H1711" s="59"/>
      <c r="I1711" s="58"/>
      <c r="K1711" s="60"/>
      <c r="N1711" s="62"/>
    </row>
    <row r="1712" s="37" customFormat="1" ht="12.75" spans="1:14">
      <c r="C1712" s="64"/>
      <c r="D1712" s="64"/>
      <c r="G1712" s="58"/>
      <c r="H1712" s="59"/>
      <c r="I1712" s="58"/>
      <c r="K1712" s="60"/>
      <c r="N1712" s="62"/>
    </row>
    <row r="1713" s="37" customFormat="1" ht="12.75" spans="1:14">
      <c r="C1713" s="64"/>
      <c r="D1713" s="64"/>
      <c r="G1713" s="58"/>
      <c r="H1713" s="59"/>
      <c r="I1713" s="58"/>
      <c r="K1713" s="60"/>
      <c r="N1713" s="62"/>
    </row>
    <row r="1714" s="54" customFormat="1" ht="12.75" spans="1:14">
      <c r="A1714" s="37"/>
      <c r="B1714" s="37"/>
      <c r="C1714" s="64"/>
      <c r="D1714" s="64"/>
      <c r="E1714" s="37"/>
      <c r="F1714" s="37"/>
      <c r="G1714" s="58"/>
      <c r="H1714" s="59"/>
      <c r="I1714" s="58"/>
      <c r="K1714" s="78"/>
      <c r="N1714" s="77"/>
    </row>
    <row r="1715" s="54" customFormat="1" ht="12.75" spans="1:14">
      <c r="A1715" s="37"/>
      <c r="B1715" s="37"/>
      <c r="C1715" s="64"/>
      <c r="D1715" s="64"/>
      <c r="E1715" s="37"/>
      <c r="F1715" s="37"/>
      <c r="G1715" s="58"/>
      <c r="H1715" s="59"/>
      <c r="I1715" s="58"/>
      <c r="K1715" s="78"/>
      <c r="N1715" s="77"/>
    </row>
    <row r="1716" s="54" customFormat="1" ht="12.75" spans="1:14">
      <c r="A1716" s="37"/>
      <c r="B1716" s="37"/>
      <c r="C1716" s="64"/>
      <c r="D1716" s="64"/>
      <c r="E1716" s="37"/>
      <c r="F1716" s="37"/>
      <c r="G1716" s="58"/>
      <c r="H1716" s="59"/>
      <c r="I1716" s="58"/>
      <c r="K1716" s="78"/>
      <c r="N1716" s="77"/>
    </row>
    <row r="1717" s="54" customFormat="1" ht="12.75" spans="1:14">
      <c r="A1717" s="37"/>
      <c r="B1717" s="37"/>
      <c r="C1717" s="64"/>
      <c r="D1717" s="64"/>
      <c r="E1717" s="37"/>
      <c r="F1717" s="37"/>
      <c r="G1717" s="58"/>
      <c r="H1717" s="59"/>
      <c r="I1717" s="58"/>
      <c r="K1717" s="78"/>
      <c r="N1717" s="77"/>
    </row>
    <row r="1718" s="37" customFormat="1" ht="12.75" spans="1:14">
      <c r="C1718" s="64"/>
      <c r="D1718" s="64"/>
      <c r="G1718" s="58"/>
      <c r="H1718" s="59"/>
      <c r="I1718" s="58"/>
      <c r="K1718" s="60"/>
    </row>
    <row r="1719" s="37" customFormat="1" ht="12.75" spans="1:14">
      <c r="C1719" s="64"/>
      <c r="D1719" s="64"/>
      <c r="G1719" s="58"/>
      <c r="H1719" s="59"/>
      <c r="I1719" s="58"/>
      <c r="K1719" s="60"/>
    </row>
    <row r="1720" s="37" customFormat="1" ht="12.75" spans="1:14">
      <c r="C1720" s="64"/>
      <c r="D1720" s="64"/>
      <c r="G1720" s="58"/>
      <c r="H1720" s="59"/>
      <c r="I1720" s="58"/>
      <c r="K1720" s="60"/>
    </row>
    <row r="1721" s="37" customFormat="1" ht="12.75" spans="1:14">
      <c r="C1721" s="64"/>
      <c r="D1721" s="64"/>
      <c r="G1721" s="58"/>
      <c r="H1721" s="59"/>
      <c r="I1721" s="58"/>
      <c r="K1721" s="60"/>
    </row>
    <row r="1722" s="37" customFormat="1" ht="12.75" spans="1:14">
      <c r="C1722" s="64"/>
      <c r="D1722" s="64"/>
      <c r="G1722" s="58"/>
      <c r="H1722" s="59"/>
      <c r="I1722" s="58"/>
      <c r="K1722" s="60"/>
    </row>
    <row r="1723" s="37" customFormat="1" ht="12.75" spans="1:14">
      <c r="C1723" s="64"/>
      <c r="D1723" s="64"/>
      <c r="G1723" s="58"/>
      <c r="H1723" s="59"/>
      <c r="I1723" s="58"/>
      <c r="K1723" s="60"/>
    </row>
    <row r="1724" s="54" customFormat="1" ht="12.75" spans="1:14">
      <c r="A1724" s="37"/>
      <c r="B1724" s="37"/>
      <c r="C1724" s="64"/>
      <c r="D1724" s="64"/>
      <c r="E1724" s="37"/>
      <c r="F1724" s="37"/>
      <c r="G1724" s="58"/>
      <c r="H1724" s="59"/>
      <c r="I1724" s="58"/>
      <c r="K1724" s="78"/>
    </row>
    <row r="1725" s="54" customFormat="1" ht="12.75" spans="1:14">
      <c r="A1725" s="37"/>
      <c r="B1725" s="37"/>
      <c r="C1725" s="64"/>
      <c r="D1725" s="64"/>
      <c r="E1725" s="37"/>
      <c r="F1725" s="37"/>
      <c r="G1725" s="58"/>
      <c r="H1725" s="59"/>
      <c r="I1725" s="58"/>
      <c r="K1725" s="78"/>
    </row>
    <row r="1726" s="54" customFormat="1" ht="12.75" spans="1:14">
      <c r="A1726" s="37"/>
      <c r="B1726" s="37"/>
      <c r="C1726" s="64"/>
      <c r="D1726" s="64"/>
      <c r="E1726" s="37"/>
      <c r="F1726" s="37"/>
      <c r="G1726" s="58"/>
      <c r="H1726" s="59"/>
      <c r="I1726" s="58"/>
      <c r="K1726" s="78"/>
    </row>
    <row r="1727" s="54" customFormat="1" ht="12.75" spans="1:14">
      <c r="A1727" s="37"/>
      <c r="B1727" s="37"/>
      <c r="C1727" s="64"/>
      <c r="D1727" s="64"/>
      <c r="E1727" s="37"/>
      <c r="F1727" s="37"/>
      <c r="G1727" s="58"/>
      <c r="H1727" s="59"/>
      <c r="I1727" s="58"/>
      <c r="K1727" s="78"/>
    </row>
    <row r="1728" s="54" customFormat="1" ht="12.75" spans="1:14">
      <c r="A1728" s="37"/>
      <c r="B1728" s="37"/>
      <c r="C1728" s="64"/>
      <c r="D1728" s="64"/>
      <c r="E1728" s="37"/>
      <c r="F1728" s="37"/>
      <c r="G1728" s="58"/>
      <c r="H1728" s="59"/>
      <c r="I1728" s="58"/>
      <c r="K1728" s="78"/>
    </row>
    <row r="1729" s="37" customFormat="1" ht="12.75" spans="1:11">
      <c r="C1729" s="64"/>
      <c r="D1729" s="64"/>
      <c r="G1729" s="58"/>
      <c r="H1729" s="59"/>
      <c r="I1729" s="58"/>
      <c r="K1729" s="60"/>
    </row>
    <row r="1730" s="37" customFormat="1" ht="12.75" spans="1:11">
      <c r="C1730" s="64"/>
      <c r="D1730" s="64"/>
      <c r="G1730" s="58"/>
      <c r="H1730" s="59"/>
      <c r="I1730" s="58"/>
      <c r="K1730" s="60"/>
    </row>
    <row r="1731" s="37" customFormat="1" ht="12.75" spans="1:11">
      <c r="C1731" s="64"/>
      <c r="D1731" s="64"/>
      <c r="G1731" s="58"/>
      <c r="H1731" s="59"/>
      <c r="I1731" s="58"/>
      <c r="K1731" s="60"/>
    </row>
    <row r="1732" s="37" customFormat="1" ht="12.75" spans="1:11">
      <c r="C1732" s="64"/>
      <c r="D1732" s="64"/>
      <c r="G1732" s="58"/>
      <c r="H1732" s="59"/>
      <c r="I1732" s="58"/>
      <c r="K1732" s="60"/>
    </row>
    <row r="1733" s="37" customFormat="1" ht="12.75" spans="1:11">
      <c r="C1733" s="64"/>
      <c r="D1733" s="64"/>
      <c r="G1733" s="58"/>
      <c r="H1733" s="59"/>
      <c r="I1733" s="58"/>
      <c r="K1733" s="60"/>
    </row>
    <row r="1734" s="37" customFormat="1" ht="12.75" spans="1:11">
      <c r="C1734" s="64"/>
      <c r="D1734" s="64"/>
      <c r="G1734" s="58"/>
      <c r="H1734" s="59"/>
      <c r="I1734" s="58"/>
      <c r="K1734" s="60"/>
    </row>
    <row r="1735" s="54" customFormat="1" ht="12.75" spans="1:11">
      <c r="A1735" s="37"/>
      <c r="B1735" s="37"/>
      <c r="C1735" s="64"/>
      <c r="D1735" s="64"/>
      <c r="E1735" s="37"/>
      <c r="F1735" s="37"/>
      <c r="G1735" s="58"/>
      <c r="H1735" s="59"/>
      <c r="I1735" s="58"/>
      <c r="K1735" s="78"/>
    </row>
    <row r="1736" s="54" customFormat="1" ht="12.75" spans="1:11">
      <c r="A1736" s="37"/>
      <c r="B1736" s="37"/>
      <c r="C1736" s="64"/>
      <c r="D1736" s="64"/>
      <c r="E1736" s="37"/>
      <c r="F1736" s="37"/>
      <c r="G1736" s="58"/>
      <c r="H1736" s="59"/>
      <c r="I1736" s="58"/>
      <c r="K1736" s="78"/>
    </row>
    <row r="1737" s="54" customFormat="1" ht="12.75" spans="1:11">
      <c r="A1737" s="37"/>
      <c r="B1737" s="37"/>
      <c r="C1737" s="64"/>
      <c r="D1737" s="64"/>
      <c r="E1737" s="37"/>
      <c r="F1737" s="37"/>
      <c r="G1737" s="58"/>
      <c r="H1737" s="59"/>
      <c r="I1737" s="58"/>
      <c r="K1737" s="78"/>
    </row>
    <row r="1738" s="54" customFormat="1" ht="12.75" spans="1:11">
      <c r="A1738" s="37"/>
      <c r="B1738" s="37"/>
      <c r="C1738" s="64"/>
      <c r="D1738" s="64"/>
      <c r="E1738" s="37"/>
      <c r="F1738" s="37"/>
      <c r="G1738" s="58"/>
      <c r="H1738" s="59"/>
      <c r="I1738" s="58"/>
      <c r="K1738" s="78"/>
    </row>
    <row r="1739" s="37" customFormat="1" ht="12.75" spans="1:11">
      <c r="C1739" s="64"/>
      <c r="D1739" s="64"/>
      <c r="G1739" s="58"/>
      <c r="H1739" s="59"/>
      <c r="I1739" s="58"/>
      <c r="K1739" s="60"/>
    </row>
    <row r="1740" s="37" customFormat="1" ht="12.75" spans="1:11">
      <c r="C1740" s="64"/>
      <c r="D1740" s="64"/>
      <c r="G1740" s="58"/>
      <c r="H1740" s="59"/>
      <c r="I1740" s="58"/>
      <c r="K1740" s="60"/>
    </row>
    <row r="1741" s="37" customFormat="1" ht="12.75" spans="1:11">
      <c r="C1741" s="64"/>
      <c r="D1741" s="64"/>
      <c r="G1741" s="58"/>
      <c r="H1741" s="59"/>
      <c r="I1741" s="58"/>
      <c r="K1741" s="60"/>
    </row>
    <row r="1742" s="37" customFormat="1" ht="12.75" spans="1:11">
      <c r="C1742" s="64"/>
      <c r="D1742" s="64"/>
      <c r="G1742" s="58"/>
      <c r="H1742" s="59"/>
      <c r="I1742" s="58"/>
      <c r="K1742" s="60"/>
    </row>
    <row r="1743" s="37" customFormat="1" ht="12.75" spans="1:11">
      <c r="C1743" s="64"/>
      <c r="D1743" s="64"/>
      <c r="G1743" s="58"/>
      <c r="H1743" s="59"/>
      <c r="I1743" s="58"/>
      <c r="K1743" s="60"/>
    </row>
    <row r="1744" s="37" customFormat="1" ht="12.75" spans="1:11">
      <c r="C1744" s="64"/>
      <c r="D1744" s="64"/>
      <c r="G1744" s="58"/>
      <c r="H1744" s="59"/>
      <c r="I1744" s="58"/>
      <c r="K1744" s="60"/>
    </row>
    <row r="1745" s="54" customFormat="1" ht="12.75" spans="1:11">
      <c r="A1745" s="37"/>
      <c r="B1745" s="37"/>
      <c r="C1745" s="64"/>
      <c r="D1745" s="64"/>
      <c r="E1745" s="37"/>
      <c r="F1745" s="37"/>
      <c r="G1745" s="58"/>
      <c r="H1745" s="59"/>
      <c r="I1745" s="58"/>
      <c r="K1745" s="78"/>
    </row>
    <row r="1746" s="54" customFormat="1" ht="12.75" spans="1:11">
      <c r="A1746" s="37"/>
      <c r="B1746" s="37"/>
      <c r="C1746" s="64"/>
      <c r="D1746" s="64"/>
      <c r="E1746" s="37"/>
      <c r="F1746" s="37"/>
      <c r="G1746" s="58"/>
      <c r="H1746" s="59"/>
      <c r="I1746" s="58"/>
      <c r="K1746" s="78"/>
    </row>
    <row r="1747" s="54" customFormat="1" ht="12.75" spans="1:11">
      <c r="A1747" s="37"/>
      <c r="B1747" s="37"/>
      <c r="C1747" s="64"/>
      <c r="D1747" s="64"/>
      <c r="E1747" s="37"/>
      <c r="F1747" s="37"/>
      <c r="G1747" s="58"/>
      <c r="H1747" s="59"/>
      <c r="I1747" s="58"/>
      <c r="K1747" s="78"/>
    </row>
    <row r="1748" s="54" customFormat="1" ht="12.75" spans="1:11">
      <c r="A1748" s="37"/>
      <c r="B1748" s="37"/>
      <c r="C1748" s="64"/>
      <c r="D1748" s="64"/>
      <c r="E1748" s="37"/>
      <c r="F1748" s="37"/>
      <c r="G1748" s="58"/>
      <c r="H1748" s="59"/>
      <c r="I1748" s="58"/>
      <c r="K1748" s="78"/>
    </row>
    <row r="1749" s="37" customFormat="1" ht="12.75" spans="1:11">
      <c r="C1749" s="64"/>
      <c r="D1749" s="64"/>
      <c r="G1749" s="58"/>
      <c r="H1749" s="59"/>
      <c r="I1749" s="58"/>
      <c r="K1749" s="60"/>
    </row>
    <row r="1750" s="37" customFormat="1" ht="12.75" spans="1:11">
      <c r="C1750" s="64"/>
      <c r="D1750" s="64"/>
      <c r="G1750" s="58"/>
      <c r="H1750" s="59"/>
      <c r="I1750" s="58"/>
      <c r="K1750" s="60"/>
    </row>
    <row r="1751" s="37" customFormat="1" ht="12.75" spans="1:11">
      <c r="C1751" s="64"/>
      <c r="D1751" s="64"/>
      <c r="G1751" s="58"/>
      <c r="H1751" s="59"/>
      <c r="I1751" s="58"/>
      <c r="K1751" s="60"/>
    </row>
    <row r="1752" s="37" customFormat="1" ht="12.75" spans="1:11">
      <c r="C1752" s="64"/>
      <c r="D1752" s="64"/>
      <c r="G1752" s="58"/>
      <c r="H1752" s="59"/>
      <c r="I1752" s="58"/>
      <c r="K1752" s="60"/>
    </row>
    <row r="1753" s="37" customFormat="1" ht="12.75" spans="1:11">
      <c r="C1753" s="64"/>
      <c r="D1753" s="64"/>
      <c r="G1753" s="58"/>
      <c r="H1753" s="59"/>
      <c r="I1753" s="58"/>
      <c r="K1753" s="60"/>
    </row>
    <row r="1754" s="37" customFormat="1" ht="12.75" spans="1:11">
      <c r="C1754" s="64"/>
      <c r="D1754" s="64"/>
      <c r="G1754" s="58"/>
      <c r="H1754" s="59"/>
      <c r="I1754" s="58"/>
      <c r="K1754" s="60"/>
    </row>
    <row r="1755" s="54" customFormat="1" ht="12.75" spans="1:11">
      <c r="A1755" s="37"/>
      <c r="B1755" s="37"/>
      <c r="C1755" s="64"/>
      <c r="D1755" s="64"/>
      <c r="E1755" s="37"/>
      <c r="F1755" s="37"/>
      <c r="G1755" s="58"/>
      <c r="H1755" s="59"/>
      <c r="I1755" s="58"/>
      <c r="K1755" s="78"/>
    </row>
    <row r="1756" s="54" customFormat="1" ht="12.75" spans="1:11">
      <c r="A1756" s="37"/>
      <c r="B1756" s="37"/>
      <c r="C1756" s="64"/>
      <c r="D1756" s="64"/>
      <c r="E1756" s="37"/>
      <c r="F1756" s="37"/>
      <c r="G1756" s="58"/>
      <c r="H1756" s="59"/>
      <c r="I1756" s="58"/>
      <c r="K1756" s="78"/>
    </row>
    <row r="1757" s="54" customFormat="1" ht="12.75" spans="1:11">
      <c r="A1757" s="37"/>
      <c r="B1757" s="37"/>
      <c r="C1757" s="64"/>
      <c r="D1757" s="64"/>
      <c r="E1757" s="37"/>
      <c r="F1757" s="37"/>
      <c r="G1757" s="58"/>
      <c r="H1757" s="59"/>
      <c r="I1757" s="58"/>
      <c r="K1757" s="78"/>
    </row>
    <row r="1758" s="54" customFormat="1" ht="12.75" spans="1:11">
      <c r="A1758" s="37"/>
      <c r="B1758" s="37"/>
      <c r="C1758" s="64"/>
      <c r="D1758" s="64"/>
      <c r="E1758" s="37"/>
      <c r="F1758" s="37"/>
      <c r="G1758" s="58"/>
      <c r="H1758" s="59"/>
      <c r="I1758" s="58"/>
      <c r="K1758" s="78"/>
    </row>
    <row r="1759" s="37" customFormat="1" ht="12.75" spans="1:11">
      <c r="C1759" s="64"/>
      <c r="D1759" s="64"/>
      <c r="G1759" s="58"/>
      <c r="H1759" s="59"/>
      <c r="I1759" s="58"/>
      <c r="K1759" s="60"/>
    </row>
    <row r="1760" s="37" customFormat="1" ht="12.75" spans="1:11">
      <c r="C1760" s="64"/>
      <c r="D1760" s="64"/>
      <c r="G1760" s="58"/>
      <c r="H1760" s="59"/>
      <c r="I1760" s="58"/>
      <c r="K1760" s="60"/>
    </row>
    <row r="1761" s="37" customFormat="1" ht="12.75" spans="1:11">
      <c r="C1761" s="64"/>
      <c r="D1761" s="64"/>
      <c r="G1761" s="58"/>
      <c r="H1761" s="59"/>
      <c r="I1761" s="58"/>
      <c r="K1761" s="60"/>
    </row>
    <row r="1762" s="37" customFormat="1" ht="12.75" spans="1:11">
      <c r="C1762" s="64"/>
      <c r="D1762" s="64"/>
      <c r="G1762" s="58"/>
      <c r="H1762" s="59"/>
      <c r="I1762" s="58"/>
      <c r="K1762" s="60"/>
    </row>
    <row r="1763" s="37" customFormat="1" ht="12.75" spans="1:11">
      <c r="C1763" s="64"/>
      <c r="D1763" s="64"/>
      <c r="G1763" s="58"/>
      <c r="H1763" s="59"/>
      <c r="I1763" s="58"/>
      <c r="K1763" s="60"/>
    </row>
    <row r="1764" s="37" customFormat="1" ht="12.75" spans="1:11">
      <c r="C1764" s="64"/>
      <c r="D1764" s="64"/>
      <c r="G1764" s="58"/>
      <c r="H1764" s="59"/>
      <c r="I1764" s="58"/>
      <c r="K1764" s="60"/>
    </row>
    <row r="1765" s="54" customFormat="1" ht="12.75" spans="1:11">
      <c r="A1765" s="37"/>
      <c r="B1765" s="37"/>
      <c r="C1765" s="64"/>
      <c r="D1765" s="64"/>
      <c r="E1765" s="37"/>
      <c r="F1765" s="37"/>
      <c r="G1765" s="58"/>
      <c r="H1765" s="59"/>
      <c r="I1765" s="58"/>
      <c r="K1765" s="78"/>
    </row>
    <row r="1766" s="54" customFormat="1" ht="12.75" spans="1:11">
      <c r="A1766" s="37"/>
      <c r="B1766" s="37"/>
      <c r="C1766" s="64"/>
      <c r="D1766" s="64"/>
      <c r="E1766" s="37"/>
      <c r="F1766" s="37"/>
      <c r="G1766" s="58"/>
      <c r="H1766" s="59"/>
      <c r="I1766" s="58"/>
      <c r="K1766" s="78"/>
    </row>
    <row r="1767" s="54" customFormat="1" ht="12.75" spans="1:11">
      <c r="A1767" s="37"/>
      <c r="B1767" s="37"/>
      <c r="C1767" s="64"/>
      <c r="D1767" s="64"/>
      <c r="E1767" s="37"/>
      <c r="F1767" s="37"/>
      <c r="G1767" s="58"/>
      <c r="H1767" s="59"/>
      <c r="I1767" s="58"/>
      <c r="K1767" s="78"/>
    </row>
    <row r="1768" s="37" customFormat="1" ht="12.75" spans="1:11">
      <c r="C1768" s="67"/>
      <c r="D1768" s="67"/>
      <c r="G1768" s="58"/>
      <c r="H1768" s="59"/>
      <c r="I1768" s="58"/>
      <c r="K1768" s="60"/>
    </row>
    <row r="1769" s="37" customFormat="1" ht="12.75" spans="1:11">
      <c r="C1769" s="67"/>
      <c r="D1769" s="67"/>
      <c r="G1769" s="58"/>
      <c r="H1769" s="59"/>
      <c r="I1769" s="58"/>
      <c r="K1769" s="60"/>
    </row>
    <row r="1770" s="37" customFormat="1" ht="12.75" spans="1:11">
      <c r="C1770" s="67"/>
      <c r="D1770" s="67"/>
      <c r="G1770" s="58"/>
      <c r="H1770" s="59"/>
      <c r="I1770" s="58"/>
      <c r="K1770" s="60"/>
    </row>
    <row r="1771" s="37" customFormat="1" ht="12.75" spans="1:11">
      <c r="C1771" s="67"/>
      <c r="D1771" s="67"/>
      <c r="G1771" s="58"/>
      <c r="H1771" s="59"/>
      <c r="I1771" s="58"/>
      <c r="K1771" s="60"/>
    </row>
    <row r="1772" s="37" customFormat="1" ht="12.75" spans="1:11">
      <c r="C1772" s="67"/>
      <c r="D1772" s="67"/>
      <c r="G1772" s="58"/>
      <c r="H1772" s="59"/>
      <c r="I1772" s="58"/>
      <c r="K1772" s="60"/>
    </row>
    <row r="1773" s="37" customFormat="1" ht="12.75" spans="1:11">
      <c r="C1773" s="67"/>
      <c r="D1773" s="67"/>
      <c r="G1773" s="58"/>
      <c r="H1773" s="59"/>
      <c r="I1773" s="58"/>
      <c r="K1773" s="60"/>
    </row>
    <row r="1774" s="54" customFormat="1" ht="12.75" spans="1:11">
      <c r="A1774" s="37"/>
      <c r="B1774" s="37"/>
      <c r="C1774" s="67"/>
      <c r="D1774" s="67"/>
      <c r="E1774" s="37"/>
      <c r="F1774" s="37"/>
      <c r="G1774" s="58"/>
      <c r="H1774" s="59"/>
      <c r="I1774" s="58"/>
      <c r="K1774" s="78"/>
    </row>
    <row r="1775" s="54" customFormat="1" ht="12.75" spans="1:11">
      <c r="A1775" s="37"/>
      <c r="B1775" s="37"/>
      <c r="C1775" s="67"/>
      <c r="D1775" s="67"/>
      <c r="E1775" s="37"/>
      <c r="F1775" s="37"/>
      <c r="G1775" s="58"/>
      <c r="H1775" s="59"/>
      <c r="I1775" s="58"/>
      <c r="K1775" s="78"/>
    </row>
    <row r="1776" s="54" customFormat="1" ht="12.75" spans="1:11">
      <c r="A1776" s="37"/>
      <c r="B1776" s="37"/>
      <c r="C1776" s="67"/>
      <c r="D1776" s="67"/>
      <c r="E1776" s="37"/>
      <c r="F1776" s="37"/>
      <c r="G1776" s="58"/>
      <c r="H1776" s="59"/>
      <c r="I1776" s="58"/>
      <c r="K1776" s="78"/>
    </row>
    <row r="1777" s="37" customFormat="1" ht="12.75" spans="1:11">
      <c r="C1777" s="67"/>
      <c r="D1777" s="67"/>
      <c r="G1777" s="58"/>
      <c r="H1777" s="59"/>
      <c r="I1777" s="58"/>
      <c r="K1777" s="60"/>
    </row>
    <row r="1778" s="37" customFormat="1" ht="12.75" spans="1:11">
      <c r="C1778" s="67"/>
      <c r="D1778" s="67"/>
      <c r="G1778" s="58"/>
      <c r="H1778" s="59"/>
      <c r="I1778" s="58"/>
      <c r="K1778" s="60"/>
    </row>
    <row r="1779" s="37" customFormat="1" ht="12.75" spans="1:11">
      <c r="C1779" s="67"/>
      <c r="D1779" s="67"/>
      <c r="G1779" s="58"/>
      <c r="H1779" s="59"/>
      <c r="I1779" s="58"/>
      <c r="K1779" s="60"/>
    </row>
    <row r="1780" s="37" customFormat="1" ht="12.75" spans="1:11">
      <c r="C1780" s="67"/>
      <c r="D1780" s="67"/>
      <c r="G1780" s="58"/>
      <c r="H1780" s="59"/>
      <c r="I1780" s="58"/>
      <c r="K1780" s="60"/>
    </row>
    <row r="1781" s="37" customFormat="1" ht="12.75" spans="1:11">
      <c r="C1781" s="67"/>
      <c r="D1781" s="67"/>
      <c r="G1781" s="58"/>
      <c r="H1781" s="59"/>
      <c r="I1781" s="58"/>
      <c r="K1781" s="60"/>
    </row>
    <row r="1782" s="37" customFormat="1" ht="12.75" spans="1:11">
      <c r="C1782" s="67"/>
      <c r="D1782" s="67"/>
      <c r="G1782" s="58"/>
      <c r="H1782" s="59"/>
      <c r="I1782" s="58"/>
      <c r="K1782" s="60"/>
    </row>
    <row r="1783" s="54" customFormat="1" ht="12.75" spans="1:11">
      <c r="A1783" s="37"/>
      <c r="B1783" s="37"/>
      <c r="C1783" s="67"/>
      <c r="D1783" s="67"/>
      <c r="E1783" s="37"/>
      <c r="F1783" s="37"/>
      <c r="G1783" s="58"/>
      <c r="H1783" s="59"/>
      <c r="I1783" s="58"/>
      <c r="K1783" s="78"/>
    </row>
    <row r="1784" s="54" customFormat="1" ht="12.75" spans="1:11">
      <c r="A1784" s="37"/>
      <c r="B1784" s="37"/>
      <c r="C1784" s="67"/>
      <c r="D1784" s="67"/>
      <c r="E1784" s="37"/>
      <c r="F1784" s="37"/>
      <c r="G1784" s="58"/>
      <c r="H1784" s="59"/>
      <c r="I1784" s="58"/>
      <c r="K1784" s="78"/>
    </row>
    <row r="1785" s="54" customFormat="1" ht="12.75" spans="1:11">
      <c r="A1785" s="37"/>
      <c r="B1785" s="37"/>
      <c r="C1785" s="67"/>
      <c r="D1785" s="67"/>
      <c r="E1785" s="37"/>
      <c r="F1785" s="37"/>
      <c r="G1785" s="58"/>
      <c r="H1785" s="59"/>
      <c r="I1785" s="58"/>
      <c r="K1785" s="78"/>
    </row>
    <row r="1786" s="54" customFormat="1" ht="12.75" spans="1:11">
      <c r="A1786" s="37"/>
      <c r="B1786" s="37"/>
      <c r="C1786" s="67"/>
      <c r="D1786" s="67"/>
      <c r="E1786" s="37"/>
      <c r="F1786" s="37"/>
      <c r="G1786" s="58"/>
      <c r="H1786" s="59"/>
      <c r="I1786" s="58"/>
      <c r="K1786" s="78"/>
    </row>
    <row r="1787" s="54" customFormat="1" ht="12.75" spans="1:11">
      <c r="A1787" s="37"/>
      <c r="B1787" s="37"/>
      <c r="C1787" s="67"/>
      <c r="D1787" s="67"/>
      <c r="E1787" s="37"/>
      <c r="F1787" s="37"/>
      <c r="G1787" s="58"/>
      <c r="H1787" s="59"/>
      <c r="I1787" s="58"/>
      <c r="K1787" s="78"/>
    </row>
    <row r="1788" s="37" customFormat="1" ht="12.75" spans="1:11">
      <c r="C1788" s="67"/>
      <c r="D1788" s="67"/>
      <c r="G1788" s="58"/>
      <c r="H1788" s="59"/>
      <c r="I1788" s="58"/>
      <c r="K1788" s="60"/>
    </row>
    <row r="1789" s="37" customFormat="1" ht="12.75" spans="1:11">
      <c r="C1789" s="67"/>
      <c r="D1789" s="67"/>
      <c r="G1789" s="58"/>
      <c r="H1789" s="59"/>
      <c r="I1789" s="58"/>
      <c r="K1789" s="60"/>
    </row>
    <row r="1790" s="37" customFormat="1" ht="12.75" spans="1:11">
      <c r="C1790" s="67"/>
      <c r="D1790" s="67"/>
      <c r="G1790" s="58"/>
      <c r="H1790" s="59"/>
      <c r="I1790" s="58"/>
      <c r="K1790" s="60"/>
    </row>
    <row r="1791" s="37" customFormat="1" ht="12.75" spans="1:11">
      <c r="C1791" s="67"/>
      <c r="D1791" s="67"/>
      <c r="G1791" s="58"/>
      <c r="H1791" s="59"/>
      <c r="I1791" s="58"/>
      <c r="K1791" s="60"/>
    </row>
    <row r="1792" s="37" customFormat="1" ht="12.75" spans="1:11">
      <c r="C1792" s="67"/>
      <c r="D1792" s="67"/>
      <c r="G1792" s="58"/>
      <c r="H1792" s="59"/>
      <c r="I1792" s="58"/>
      <c r="K1792" s="60"/>
    </row>
    <row r="1793" s="37" customFormat="1" ht="12.75" spans="1:11">
      <c r="C1793" s="67"/>
      <c r="D1793" s="67"/>
      <c r="G1793" s="58"/>
      <c r="H1793" s="59"/>
      <c r="I1793" s="58"/>
      <c r="K1793" s="60"/>
    </row>
    <row r="1794" s="54" customFormat="1" ht="12.75" spans="1:11">
      <c r="A1794" s="37"/>
      <c r="B1794" s="37"/>
      <c r="C1794" s="67"/>
      <c r="D1794" s="67"/>
      <c r="E1794" s="37"/>
      <c r="F1794" s="37"/>
      <c r="G1794" s="58"/>
      <c r="H1794" s="59"/>
      <c r="I1794" s="58"/>
      <c r="K1794" s="78"/>
    </row>
    <row r="1795" s="54" customFormat="1" ht="12.75" spans="1:11">
      <c r="A1795" s="37"/>
      <c r="B1795" s="37"/>
      <c r="C1795" s="67"/>
      <c r="D1795" s="67"/>
      <c r="E1795" s="37"/>
      <c r="F1795" s="37"/>
      <c r="G1795" s="58"/>
      <c r="H1795" s="59"/>
      <c r="I1795" s="58"/>
      <c r="K1795" s="78"/>
    </row>
    <row r="1796" s="54" customFormat="1" ht="12.75" spans="1:11">
      <c r="A1796" s="37"/>
      <c r="B1796" s="37"/>
      <c r="C1796" s="67"/>
      <c r="D1796" s="67"/>
      <c r="E1796" s="37"/>
      <c r="F1796" s="37"/>
      <c r="G1796" s="58"/>
      <c r="H1796" s="59"/>
      <c r="I1796" s="58"/>
      <c r="K1796" s="78"/>
    </row>
    <row r="1797" s="37" customFormat="1" ht="12.75" spans="1:11">
      <c r="C1797" s="67"/>
      <c r="D1797" s="67"/>
      <c r="G1797" s="58"/>
      <c r="H1797" s="59"/>
      <c r="I1797" s="58"/>
      <c r="K1797" s="60"/>
    </row>
    <row r="1798" s="37" customFormat="1" ht="12.75" spans="1:11">
      <c r="C1798" s="67"/>
      <c r="D1798" s="67"/>
      <c r="G1798" s="58"/>
      <c r="H1798" s="59"/>
      <c r="I1798" s="58"/>
      <c r="K1798" s="60"/>
    </row>
    <row r="1799" s="37" customFormat="1" ht="12.75" spans="1:11">
      <c r="C1799" s="67"/>
      <c r="D1799" s="67"/>
      <c r="G1799" s="58"/>
      <c r="H1799" s="59"/>
      <c r="I1799" s="58"/>
      <c r="K1799" s="60"/>
    </row>
    <row r="1800" s="37" customFormat="1" ht="12.75" spans="1:11">
      <c r="C1800" s="67"/>
      <c r="D1800" s="67"/>
      <c r="G1800" s="58"/>
      <c r="H1800" s="59"/>
      <c r="I1800" s="58"/>
      <c r="K1800" s="60"/>
    </row>
    <row r="1801" s="37" customFormat="1" ht="12.75" spans="1:11">
      <c r="C1801" s="67"/>
      <c r="D1801" s="67"/>
      <c r="G1801" s="58"/>
      <c r="H1801" s="59"/>
      <c r="I1801" s="58"/>
      <c r="K1801" s="60"/>
    </row>
    <row r="1802" s="54" customFormat="1" ht="12.75" spans="1:11">
      <c r="A1802" s="37"/>
      <c r="B1802" s="37"/>
      <c r="C1802" s="67"/>
      <c r="D1802" s="67"/>
      <c r="E1802" s="37"/>
      <c r="F1802" s="37"/>
      <c r="G1802" s="58"/>
      <c r="H1802" s="59"/>
      <c r="I1802" s="58"/>
      <c r="K1802" s="78"/>
    </row>
    <row r="1803" s="54" customFormat="1" ht="12.75" spans="1:11">
      <c r="A1803" s="37"/>
      <c r="B1803" s="37"/>
      <c r="C1803" s="67"/>
      <c r="D1803" s="67"/>
      <c r="E1803" s="37"/>
      <c r="F1803" s="37"/>
      <c r="G1803" s="58"/>
      <c r="H1803" s="59"/>
      <c r="I1803" s="58"/>
      <c r="K1803" s="78"/>
    </row>
    <row r="1804" s="54" customFormat="1" ht="12.75" spans="1:11">
      <c r="A1804" s="37"/>
      <c r="B1804" s="37"/>
      <c r="C1804" s="67"/>
      <c r="D1804" s="67"/>
      <c r="E1804" s="37"/>
      <c r="F1804" s="37"/>
      <c r="G1804" s="58"/>
      <c r="H1804" s="59"/>
      <c r="I1804" s="58"/>
      <c r="K1804" s="78"/>
    </row>
    <row r="1805" s="37" customFormat="1" ht="12.75" spans="1:11">
      <c r="C1805" s="67"/>
      <c r="D1805" s="67"/>
      <c r="G1805" s="58"/>
      <c r="H1805" s="59"/>
      <c r="I1805" s="58"/>
      <c r="K1805" s="60"/>
    </row>
    <row r="1806" s="37" customFormat="1" ht="12.75" spans="1:11">
      <c r="C1806" s="67"/>
      <c r="D1806" s="67"/>
      <c r="G1806" s="58"/>
      <c r="H1806" s="59"/>
      <c r="I1806" s="58"/>
      <c r="K1806" s="60"/>
    </row>
    <row r="1807" s="37" customFormat="1" ht="12.75" spans="1:11">
      <c r="C1807" s="67"/>
      <c r="D1807" s="67"/>
      <c r="G1807" s="58"/>
      <c r="H1807" s="59"/>
      <c r="I1807" s="58"/>
      <c r="K1807" s="60"/>
    </row>
    <row r="1808" s="37" customFormat="1" ht="12.75" spans="1:11">
      <c r="C1808" s="67"/>
      <c r="D1808" s="67"/>
      <c r="G1808" s="58"/>
      <c r="H1808" s="59"/>
      <c r="I1808" s="58"/>
      <c r="K1808" s="60"/>
    </row>
    <row r="1809" s="37" customFormat="1" ht="12.75" spans="1:11">
      <c r="C1809" s="67"/>
      <c r="D1809" s="67"/>
      <c r="G1809" s="58"/>
      <c r="H1809" s="59"/>
      <c r="I1809" s="58"/>
      <c r="K1809" s="60"/>
    </row>
    <row r="1810" s="37" customFormat="1" ht="12.75" spans="1:11">
      <c r="C1810" s="67"/>
      <c r="D1810" s="67"/>
      <c r="G1810" s="58"/>
      <c r="H1810" s="59"/>
      <c r="I1810" s="58"/>
      <c r="K1810" s="60"/>
    </row>
    <row r="1811" s="54" customFormat="1" ht="12.75" spans="1:11">
      <c r="A1811" s="37"/>
      <c r="B1811" s="37"/>
      <c r="C1811" s="67"/>
      <c r="D1811" s="67"/>
      <c r="E1811" s="37"/>
      <c r="F1811" s="37"/>
      <c r="G1811" s="58"/>
      <c r="H1811" s="59"/>
      <c r="I1811" s="58"/>
      <c r="K1811" s="78"/>
    </row>
    <row r="1812" s="54" customFormat="1" ht="12.75" spans="1:11">
      <c r="A1812" s="37"/>
      <c r="B1812" s="37"/>
      <c r="C1812" s="67"/>
      <c r="D1812" s="67"/>
      <c r="E1812" s="37"/>
      <c r="F1812" s="37"/>
      <c r="G1812" s="58"/>
      <c r="H1812" s="59"/>
      <c r="I1812" s="58"/>
      <c r="K1812" s="78"/>
    </row>
    <row r="1813" s="37" customFormat="1" ht="12.75" spans="1:11">
      <c r="C1813" s="67"/>
      <c r="D1813" s="67"/>
      <c r="G1813" s="58"/>
      <c r="H1813" s="59"/>
      <c r="I1813" s="58"/>
      <c r="K1813" s="60"/>
    </row>
    <row r="1814" s="37" customFormat="1" ht="12.75" spans="1:11">
      <c r="C1814" s="67"/>
      <c r="D1814" s="67"/>
      <c r="G1814" s="58"/>
      <c r="H1814" s="59"/>
      <c r="I1814" s="58"/>
      <c r="K1814" s="60"/>
    </row>
    <row r="1815" s="37" customFormat="1" ht="12.75" spans="1:11">
      <c r="C1815" s="67"/>
      <c r="D1815" s="67"/>
      <c r="G1815" s="58"/>
      <c r="H1815" s="59"/>
      <c r="I1815" s="58"/>
      <c r="K1815" s="60"/>
    </row>
    <row r="1816" s="37" customFormat="1" ht="12.75" spans="1:11">
      <c r="C1816" s="67"/>
      <c r="D1816" s="67"/>
      <c r="G1816" s="58"/>
      <c r="H1816" s="59"/>
      <c r="I1816" s="58"/>
      <c r="K1816" s="60"/>
    </row>
    <row r="1817" s="37" customFormat="1" ht="12.75" spans="1:11">
      <c r="C1817" s="67"/>
      <c r="D1817" s="67"/>
      <c r="G1817" s="58"/>
      <c r="H1817" s="59"/>
      <c r="I1817" s="58"/>
      <c r="K1817" s="60"/>
    </row>
    <row r="1818" s="37" customFormat="1" ht="12.75" spans="1:11">
      <c r="C1818" s="67"/>
      <c r="D1818" s="67"/>
      <c r="G1818" s="58"/>
      <c r="H1818" s="59"/>
      <c r="I1818" s="58"/>
      <c r="K1818" s="60"/>
    </row>
    <row r="1819" s="54" customFormat="1" ht="12.75" spans="1:11">
      <c r="A1819" s="37"/>
      <c r="B1819" s="37"/>
      <c r="C1819" s="67"/>
      <c r="D1819" s="67"/>
      <c r="E1819" s="37"/>
      <c r="F1819" s="37"/>
      <c r="G1819" s="58"/>
      <c r="H1819" s="59"/>
      <c r="I1819" s="58"/>
      <c r="K1819" s="78"/>
    </row>
    <row r="1820" s="54" customFormat="1" ht="12.75" spans="1:11">
      <c r="A1820" s="37"/>
      <c r="B1820" s="37"/>
      <c r="C1820" s="67"/>
      <c r="D1820" s="67"/>
      <c r="E1820" s="37"/>
      <c r="F1820" s="37"/>
      <c r="G1820" s="58"/>
      <c r="H1820" s="59"/>
      <c r="I1820" s="58"/>
      <c r="K1820" s="78"/>
    </row>
    <row r="1821" s="37" customFormat="1" ht="12.75" spans="1:11">
      <c r="C1821" s="67"/>
      <c r="D1821" s="67"/>
      <c r="G1821" s="58"/>
      <c r="H1821" s="59"/>
      <c r="I1821" s="58"/>
      <c r="K1821" s="60"/>
    </row>
    <row r="1822" s="37" customFormat="1" ht="12.75" spans="1:11">
      <c r="C1822" s="67"/>
      <c r="D1822" s="67"/>
      <c r="G1822" s="58"/>
      <c r="H1822" s="59"/>
      <c r="I1822" s="58"/>
      <c r="K1822" s="60"/>
    </row>
    <row r="1823" s="37" customFormat="1" ht="12.75" spans="1:11">
      <c r="C1823" s="67"/>
      <c r="D1823" s="67"/>
      <c r="G1823" s="58"/>
      <c r="H1823" s="59"/>
      <c r="I1823" s="58"/>
      <c r="K1823" s="60"/>
    </row>
    <row r="1824" s="37" customFormat="1" ht="12.75" spans="1:11">
      <c r="C1824" s="67"/>
      <c r="D1824" s="67"/>
      <c r="G1824" s="58"/>
      <c r="H1824" s="59"/>
      <c r="I1824" s="58"/>
      <c r="K1824" s="60"/>
    </row>
    <row r="1825" s="37" customFormat="1" ht="12.75" spans="1:14">
      <c r="C1825" s="67"/>
      <c r="D1825" s="67"/>
      <c r="G1825" s="58"/>
      <c r="H1825" s="59"/>
      <c r="I1825" s="58"/>
      <c r="K1825" s="60"/>
    </row>
    <row r="1826" s="37" customFormat="1" ht="12.75" spans="1:14">
      <c r="C1826" s="67"/>
      <c r="D1826" s="67"/>
      <c r="G1826" s="58"/>
      <c r="H1826" s="59"/>
      <c r="I1826" s="58"/>
      <c r="K1826" s="60"/>
    </row>
    <row r="1827" s="37" customFormat="1" ht="12.75" spans="1:14">
      <c r="C1827" s="67"/>
      <c r="D1827" s="67"/>
      <c r="G1827" s="58"/>
      <c r="H1827" s="59"/>
      <c r="I1827" s="58"/>
      <c r="J1827" s="54"/>
      <c r="K1827" s="78"/>
      <c r="L1827" s="54"/>
      <c r="M1827" s="54"/>
      <c r="N1827" s="54"/>
    </row>
    <row r="1828" s="54" customFormat="1" ht="12.75" spans="1:14">
      <c r="A1828" s="37"/>
      <c r="B1828" s="37"/>
      <c r="C1828" s="67"/>
      <c r="D1828" s="67"/>
      <c r="E1828" s="37"/>
      <c r="F1828" s="37"/>
      <c r="G1828" s="58"/>
      <c r="H1828" s="59"/>
      <c r="I1828" s="58"/>
      <c r="J1828" s="37"/>
      <c r="K1828" s="60"/>
      <c r="L1828" s="37"/>
      <c r="M1828" s="37"/>
      <c r="N1828" s="37"/>
    </row>
    <row r="1829" s="54" customFormat="1" ht="12.75" spans="1:14">
      <c r="A1829" s="37"/>
      <c r="B1829" s="37"/>
      <c r="C1829" s="67"/>
      <c r="D1829" s="67"/>
      <c r="E1829" s="37"/>
      <c r="F1829" s="37"/>
      <c r="G1829" s="58"/>
      <c r="H1829" s="59"/>
      <c r="I1829" s="58"/>
      <c r="K1829" s="78"/>
    </row>
    <row r="1830" s="54" customFormat="1" ht="12.75" spans="1:14">
      <c r="A1830" s="37"/>
      <c r="B1830" s="37"/>
      <c r="C1830" s="67"/>
      <c r="D1830" s="67"/>
      <c r="E1830" s="37"/>
      <c r="F1830" s="37"/>
      <c r="G1830" s="58"/>
      <c r="H1830" s="59"/>
      <c r="I1830" s="58"/>
      <c r="K1830" s="78"/>
    </row>
    <row r="1831" s="37" customFormat="1" ht="12.75" spans="1:14">
      <c r="C1831" s="67"/>
      <c r="D1831" s="67"/>
      <c r="G1831" s="58"/>
      <c r="H1831" s="59"/>
      <c r="I1831" s="58"/>
      <c r="K1831" s="60"/>
    </row>
    <row r="1832" s="37" customFormat="1" ht="12.75" spans="1:14">
      <c r="C1832" s="67"/>
      <c r="D1832" s="67"/>
      <c r="G1832" s="58"/>
      <c r="H1832" s="59"/>
      <c r="I1832" s="58"/>
      <c r="K1832" s="60"/>
    </row>
    <row r="1833" s="37" customFormat="1" ht="12.75" spans="1:14">
      <c r="C1833" s="67"/>
      <c r="D1833" s="67"/>
      <c r="G1833" s="58"/>
      <c r="H1833" s="59"/>
      <c r="I1833" s="58"/>
      <c r="K1833" s="60"/>
    </row>
    <row r="1834" s="37" customFormat="1" ht="12.75" spans="1:14">
      <c r="C1834" s="67"/>
      <c r="D1834" s="67"/>
      <c r="G1834" s="58"/>
      <c r="H1834" s="59"/>
      <c r="I1834" s="58"/>
      <c r="K1834" s="60"/>
    </row>
    <row r="1835" s="37" customFormat="1" ht="12.75" spans="1:14">
      <c r="C1835" s="67"/>
      <c r="D1835" s="67"/>
      <c r="G1835" s="58"/>
      <c r="H1835" s="59"/>
      <c r="I1835" s="58"/>
      <c r="K1835" s="60"/>
    </row>
    <row r="1836" s="37" customFormat="1" ht="12.75" spans="1:14">
      <c r="C1836" s="67"/>
      <c r="D1836" s="67"/>
      <c r="G1836" s="58"/>
      <c r="H1836" s="59"/>
      <c r="I1836" s="58"/>
      <c r="K1836" s="60"/>
    </row>
    <row r="1837" s="37" customFormat="1" ht="12.75" spans="1:14">
      <c r="C1837" s="67"/>
      <c r="D1837" s="67"/>
      <c r="G1837" s="58"/>
      <c r="H1837" s="59"/>
      <c r="I1837" s="58"/>
      <c r="K1837" s="60"/>
    </row>
    <row r="1838" s="37" customFormat="1" ht="12.75" spans="1:14">
      <c r="C1838" s="67"/>
      <c r="D1838" s="67"/>
      <c r="G1838" s="58"/>
      <c r="H1838" s="59"/>
      <c r="I1838" s="58"/>
      <c r="K1838" s="60"/>
    </row>
    <row r="1839" s="37" customFormat="1" ht="12.75" spans="1:14">
      <c r="C1839" s="67"/>
      <c r="D1839" s="67"/>
      <c r="G1839" s="58"/>
      <c r="H1839" s="59"/>
      <c r="I1839" s="58"/>
      <c r="K1839" s="60"/>
    </row>
    <row r="1840" s="37" customFormat="1" ht="12.75" spans="1:14">
      <c r="C1840" s="67"/>
      <c r="D1840" s="67"/>
      <c r="G1840" s="58"/>
      <c r="H1840" s="59"/>
      <c r="I1840" s="58"/>
      <c r="K1840" s="60"/>
    </row>
    <row r="1841" s="37" customFormat="1" ht="12.75" spans="3:11">
      <c r="C1841" s="67"/>
      <c r="D1841" s="67"/>
      <c r="G1841" s="58"/>
      <c r="H1841" s="59"/>
      <c r="I1841" s="58"/>
      <c r="K1841" s="60"/>
    </row>
    <row r="1842" s="37" customFormat="1" ht="12.75" spans="3:11">
      <c r="C1842" s="67"/>
      <c r="D1842" s="67"/>
      <c r="G1842" s="58"/>
      <c r="H1842" s="59"/>
      <c r="I1842" s="58"/>
      <c r="K1842" s="60"/>
    </row>
    <row r="1843" s="37" customFormat="1" ht="12.75" spans="3:11">
      <c r="C1843" s="67"/>
      <c r="D1843" s="67"/>
      <c r="G1843" s="58"/>
      <c r="H1843" s="59"/>
      <c r="I1843" s="58"/>
      <c r="K1843" s="60"/>
    </row>
    <row r="1844" s="37" customFormat="1" ht="12.75" spans="3:11">
      <c r="C1844" s="67"/>
      <c r="D1844" s="67"/>
      <c r="G1844" s="58"/>
      <c r="H1844" s="59"/>
      <c r="I1844" s="58"/>
      <c r="K1844" s="60"/>
    </row>
    <row r="1845" s="37" customFormat="1" ht="12.75" spans="3:11">
      <c r="C1845" s="67"/>
      <c r="D1845" s="67"/>
      <c r="G1845" s="58"/>
      <c r="H1845" s="59"/>
      <c r="I1845" s="58"/>
      <c r="K1845" s="60"/>
    </row>
    <row r="1846" s="37" customFormat="1" ht="12.75" spans="3:11">
      <c r="C1846" s="67"/>
      <c r="D1846" s="67"/>
      <c r="G1846" s="58"/>
      <c r="H1846" s="59"/>
      <c r="I1846" s="58"/>
      <c r="K1846" s="60"/>
    </row>
    <row r="1847" s="37" customFormat="1" ht="12.75" spans="3:11">
      <c r="C1847" s="67"/>
      <c r="D1847" s="67"/>
      <c r="G1847" s="58"/>
      <c r="H1847" s="59"/>
      <c r="I1847" s="58"/>
      <c r="K1847" s="60"/>
    </row>
    <row r="1848" s="37" customFormat="1" ht="12.75" spans="3:11">
      <c r="C1848" s="67"/>
      <c r="D1848" s="67"/>
      <c r="G1848" s="58"/>
      <c r="H1848" s="59"/>
      <c r="I1848" s="58"/>
      <c r="K1848" s="60"/>
    </row>
    <row r="1849" s="37" customFormat="1" ht="12.75" spans="3:11">
      <c r="C1849" s="67"/>
      <c r="D1849" s="67"/>
      <c r="G1849" s="58"/>
      <c r="H1849" s="59"/>
      <c r="I1849" s="58"/>
      <c r="K1849" s="60"/>
    </row>
    <row r="1850" s="37" customFormat="1" ht="12.75" spans="3:11">
      <c r="C1850" s="67"/>
      <c r="D1850" s="67"/>
      <c r="G1850" s="58"/>
      <c r="H1850" s="59"/>
      <c r="I1850" s="58"/>
      <c r="K1850" s="60"/>
    </row>
    <row r="1851" s="37" customFormat="1" ht="12.75" spans="3:11">
      <c r="C1851" s="67"/>
      <c r="D1851" s="67"/>
      <c r="G1851" s="58"/>
      <c r="H1851" s="59"/>
      <c r="I1851" s="58"/>
      <c r="K1851" s="60"/>
    </row>
    <row r="1852" s="37" customFormat="1" ht="12.75" spans="3:11">
      <c r="C1852" s="67"/>
      <c r="D1852" s="67"/>
      <c r="G1852" s="58"/>
      <c r="H1852" s="59"/>
      <c r="I1852" s="58"/>
      <c r="K1852" s="60"/>
    </row>
    <row r="1853" s="37" customFormat="1" ht="12.75" spans="3:11">
      <c r="C1853" s="67"/>
      <c r="D1853" s="67"/>
      <c r="G1853" s="58"/>
      <c r="H1853" s="59"/>
      <c r="I1853" s="58"/>
      <c r="K1853" s="60"/>
    </row>
    <row r="1854" s="37" customFormat="1" ht="12.75" spans="3:11">
      <c r="C1854" s="67"/>
      <c r="D1854" s="67"/>
      <c r="G1854" s="58"/>
      <c r="H1854" s="59"/>
      <c r="I1854" s="58"/>
      <c r="K1854" s="60"/>
    </row>
    <row r="1855" s="37" customFormat="1" ht="12.75" spans="3:11">
      <c r="C1855" s="67"/>
      <c r="D1855" s="67"/>
      <c r="G1855" s="58"/>
      <c r="H1855" s="59"/>
      <c r="I1855" s="58"/>
      <c r="K1855" s="60"/>
    </row>
    <row r="1856" s="37" customFormat="1" ht="12.75" spans="3:11">
      <c r="C1856" s="67"/>
      <c r="D1856" s="67"/>
      <c r="G1856" s="58"/>
      <c r="H1856" s="59"/>
      <c r="I1856" s="58"/>
      <c r="K1856" s="60"/>
    </row>
    <row r="1857" s="37" customFormat="1" ht="12.75" spans="3:14">
      <c r="C1857" s="67"/>
      <c r="D1857" s="67"/>
      <c r="G1857" s="58"/>
      <c r="H1857" s="59"/>
      <c r="I1857" s="58"/>
      <c r="K1857" s="60"/>
    </row>
    <row r="1858" s="37" customFormat="1" ht="12.75" spans="3:14">
      <c r="C1858" s="67"/>
      <c r="D1858" s="67"/>
      <c r="G1858" s="58"/>
      <c r="H1858" s="59"/>
      <c r="I1858" s="58"/>
      <c r="K1858" s="60"/>
    </row>
    <row r="1859" s="37" customFormat="1" ht="12.75" spans="3:14">
      <c r="C1859" s="67"/>
      <c r="D1859" s="67"/>
      <c r="G1859" s="58"/>
      <c r="H1859" s="59"/>
      <c r="I1859" s="58"/>
      <c r="K1859" s="60"/>
    </row>
    <row r="1860" s="37" customFormat="1" ht="12.75" spans="3:14">
      <c r="C1860" s="67"/>
      <c r="D1860" s="67"/>
      <c r="G1860" s="58"/>
      <c r="H1860" s="59"/>
      <c r="I1860" s="58"/>
      <c r="K1860" s="60"/>
    </row>
    <row r="1861" s="37" customFormat="1" ht="12.75" spans="3:14">
      <c r="C1861" s="67"/>
      <c r="D1861" s="67"/>
      <c r="G1861" s="58"/>
      <c r="H1861" s="59"/>
      <c r="I1861" s="58"/>
      <c r="K1861" s="60"/>
    </row>
    <row r="1862" s="37" customFormat="1" ht="12.75" spans="3:14">
      <c r="C1862" s="67"/>
      <c r="D1862" s="67"/>
      <c r="G1862" s="58"/>
      <c r="H1862" s="59"/>
      <c r="I1862" s="58"/>
      <c r="K1862" s="60"/>
    </row>
    <row r="1863" s="37" customFormat="1" ht="12.75" spans="3:14">
      <c r="C1863" s="67"/>
      <c r="D1863" s="67"/>
      <c r="G1863" s="58"/>
      <c r="H1863" s="59"/>
      <c r="I1863" s="58"/>
      <c r="K1863" s="60"/>
    </row>
    <row r="1864" s="37" customFormat="1" ht="12.75" spans="3:14">
      <c r="C1864" s="67"/>
      <c r="D1864" s="67"/>
      <c r="G1864" s="58"/>
      <c r="H1864" s="59"/>
      <c r="I1864" s="58"/>
      <c r="K1864" s="60"/>
    </row>
    <row r="1865" s="37" customFormat="1" ht="12.75" spans="3:14">
      <c r="C1865" s="67"/>
      <c r="D1865" s="67"/>
      <c r="G1865" s="58"/>
      <c r="H1865" s="59"/>
      <c r="I1865" s="58"/>
      <c r="K1865" s="60"/>
    </row>
    <row r="1866" s="37" customFormat="1" ht="12.75" spans="3:14">
      <c r="C1866" s="67"/>
      <c r="D1866" s="67"/>
      <c r="G1866" s="58"/>
      <c r="H1866" s="59"/>
      <c r="I1866" s="58"/>
      <c r="K1866" s="60"/>
      <c r="N1866" s="62"/>
    </row>
    <row r="1867" s="37" customFormat="1" ht="12.75" spans="3:14">
      <c r="C1867" s="67"/>
      <c r="D1867" s="67"/>
      <c r="G1867" s="58"/>
      <c r="H1867" s="59"/>
      <c r="I1867" s="58"/>
      <c r="K1867" s="60"/>
      <c r="N1867" s="62"/>
    </row>
    <row r="1868" s="37" customFormat="1" ht="12.75" spans="3:14">
      <c r="C1868" s="67"/>
      <c r="D1868" s="67"/>
      <c r="G1868" s="58"/>
      <c r="H1868" s="59"/>
      <c r="I1868" s="58"/>
      <c r="K1868" s="60"/>
      <c r="N1868" s="62"/>
    </row>
    <row r="1869" s="37" customFormat="1" ht="12.75" spans="3:14">
      <c r="C1869" s="67"/>
      <c r="D1869" s="67"/>
      <c r="G1869" s="58"/>
      <c r="H1869" s="59"/>
      <c r="I1869" s="58"/>
      <c r="K1869" s="60"/>
      <c r="N1869" s="62"/>
    </row>
    <row r="1870" s="37" customFormat="1" ht="12.75" spans="3:14">
      <c r="C1870" s="67"/>
      <c r="D1870" s="67"/>
      <c r="G1870" s="58"/>
      <c r="H1870" s="59"/>
      <c r="I1870" s="58"/>
      <c r="K1870" s="60"/>
      <c r="N1870" s="62"/>
    </row>
    <row r="1871" s="37" customFormat="1" ht="12.75" spans="3:14">
      <c r="C1871" s="67"/>
      <c r="D1871" s="67"/>
      <c r="G1871" s="58"/>
      <c r="H1871" s="59"/>
      <c r="I1871" s="58"/>
      <c r="K1871" s="60"/>
      <c r="N1871" s="62"/>
    </row>
    <row r="1872" s="37" customFormat="1" ht="12.75" spans="3:14">
      <c r="C1872" s="67"/>
      <c r="D1872" s="67"/>
      <c r="G1872" s="58"/>
      <c r="H1872" s="59"/>
      <c r="I1872" s="58"/>
      <c r="K1872" s="60"/>
      <c r="N1872" s="62"/>
    </row>
    <row r="1873" s="37" customFormat="1" ht="12.75" spans="3:14">
      <c r="C1873" s="67"/>
      <c r="D1873" s="67"/>
      <c r="G1873" s="58"/>
      <c r="H1873" s="59"/>
      <c r="I1873" s="58"/>
      <c r="K1873" s="60"/>
      <c r="N1873" s="62"/>
    </row>
    <row r="1874" s="37" customFormat="1" ht="12.75" spans="3:14">
      <c r="C1874" s="67"/>
      <c r="D1874" s="67"/>
      <c r="G1874" s="58"/>
      <c r="H1874" s="59"/>
      <c r="I1874" s="58"/>
      <c r="K1874" s="60"/>
      <c r="N1874" s="62"/>
    </row>
    <row r="1875" s="37" customFormat="1" ht="12.75" spans="3:14">
      <c r="C1875" s="67"/>
      <c r="D1875" s="67"/>
      <c r="G1875" s="58"/>
      <c r="H1875" s="59"/>
      <c r="I1875" s="58"/>
      <c r="K1875" s="60"/>
      <c r="N1875" s="62"/>
    </row>
    <row r="1876" s="37" customFormat="1" ht="12.75" spans="3:14">
      <c r="C1876" s="67"/>
      <c r="D1876" s="67"/>
      <c r="G1876" s="58"/>
      <c r="H1876" s="59"/>
      <c r="I1876" s="58"/>
      <c r="K1876" s="60"/>
      <c r="N1876" s="62"/>
    </row>
    <row r="1877" s="37" customFormat="1" ht="12.75" spans="3:14">
      <c r="C1877" s="67"/>
      <c r="D1877" s="67"/>
      <c r="G1877" s="58"/>
      <c r="H1877" s="59"/>
      <c r="I1877" s="58"/>
      <c r="K1877" s="60"/>
      <c r="N1877" s="62"/>
    </row>
    <row r="1878" s="37" customFormat="1" ht="12.75" spans="3:14">
      <c r="C1878" s="67"/>
      <c r="D1878" s="67"/>
      <c r="G1878" s="58"/>
      <c r="H1878" s="59"/>
      <c r="I1878" s="58"/>
      <c r="K1878" s="60"/>
    </row>
    <row r="1879" s="37" customFormat="1" ht="12.75" spans="3:14">
      <c r="C1879" s="67"/>
      <c r="D1879" s="67"/>
      <c r="G1879" s="58"/>
      <c r="H1879" s="59"/>
      <c r="I1879" s="58"/>
      <c r="K1879" s="60"/>
    </row>
    <row r="1880" s="37" customFormat="1" ht="12.75" spans="3:14">
      <c r="C1880" s="67"/>
      <c r="D1880" s="67"/>
      <c r="G1880" s="58"/>
      <c r="H1880" s="59"/>
      <c r="I1880" s="58"/>
      <c r="K1880" s="60"/>
    </row>
    <row r="1881" s="37" customFormat="1" ht="12.75" spans="3:14">
      <c r="C1881" s="67"/>
      <c r="D1881" s="67"/>
      <c r="G1881" s="58"/>
      <c r="H1881" s="59"/>
      <c r="I1881" s="58"/>
      <c r="K1881" s="60"/>
    </row>
    <row r="1882" s="37" customFormat="1" ht="12.75" spans="3:14">
      <c r="C1882" s="67"/>
      <c r="D1882" s="67"/>
      <c r="G1882" s="58"/>
      <c r="H1882" s="59"/>
      <c r="I1882" s="58"/>
      <c r="K1882" s="60"/>
    </row>
    <row r="1883" s="37" customFormat="1" ht="12.75" spans="3:14">
      <c r="C1883" s="67"/>
      <c r="D1883" s="67"/>
      <c r="G1883" s="58"/>
      <c r="H1883" s="59"/>
      <c r="I1883" s="58"/>
      <c r="K1883" s="60"/>
    </row>
    <row r="1884" s="37" customFormat="1" ht="12.75" spans="3:14">
      <c r="C1884" s="67"/>
      <c r="D1884" s="67"/>
      <c r="G1884" s="58"/>
      <c r="H1884" s="59"/>
      <c r="I1884" s="58"/>
      <c r="K1884" s="60"/>
    </row>
    <row r="1885" s="37" customFormat="1" ht="12.75" spans="3:14">
      <c r="C1885" s="67"/>
      <c r="D1885" s="67"/>
      <c r="G1885" s="58"/>
      <c r="H1885" s="59"/>
      <c r="I1885" s="58"/>
      <c r="K1885" s="60"/>
    </row>
    <row r="1886" s="37" customFormat="1" ht="12.75" spans="3:14">
      <c r="C1886" s="67"/>
      <c r="D1886" s="67"/>
      <c r="G1886" s="58"/>
      <c r="H1886" s="59"/>
      <c r="I1886" s="58"/>
      <c r="K1886" s="60"/>
    </row>
    <row r="1887" s="37" customFormat="1" ht="12.75" spans="3:14">
      <c r="C1887" s="67"/>
      <c r="D1887" s="67"/>
      <c r="G1887" s="58"/>
      <c r="H1887" s="59"/>
      <c r="I1887" s="58"/>
      <c r="K1887" s="60"/>
    </row>
    <row r="1888" s="37" customFormat="1" ht="12.75" spans="3:14">
      <c r="C1888" s="67"/>
      <c r="D1888" s="67"/>
      <c r="G1888" s="58"/>
      <c r="H1888" s="59"/>
      <c r="I1888" s="58"/>
      <c r="K1888" s="60"/>
    </row>
    <row r="1889" s="37" customFormat="1" ht="12.75" spans="3:11">
      <c r="C1889" s="67"/>
      <c r="D1889" s="67"/>
      <c r="G1889" s="58"/>
      <c r="H1889" s="59"/>
      <c r="I1889" s="58"/>
      <c r="K1889" s="60"/>
    </row>
    <row r="1890" s="37" customFormat="1" ht="12.75" spans="3:11">
      <c r="C1890" s="67"/>
      <c r="D1890" s="67"/>
      <c r="G1890" s="58"/>
      <c r="H1890" s="59"/>
      <c r="I1890" s="58"/>
      <c r="K1890" s="60"/>
    </row>
    <row r="1891" s="37" customFormat="1" ht="12.75" spans="3:11">
      <c r="C1891" s="67"/>
      <c r="D1891" s="67"/>
      <c r="G1891" s="58"/>
      <c r="H1891" s="59"/>
      <c r="I1891" s="58"/>
      <c r="K1891" s="60"/>
    </row>
    <row r="1892" s="37" customFormat="1" ht="12.75" spans="3:11">
      <c r="C1892" s="67"/>
      <c r="D1892" s="67"/>
      <c r="G1892" s="58"/>
      <c r="H1892" s="59"/>
      <c r="I1892" s="58"/>
      <c r="K1892" s="60"/>
    </row>
    <row r="1893" s="37" customFormat="1" ht="12.75" spans="3:11">
      <c r="C1893" s="67"/>
      <c r="D1893" s="67"/>
      <c r="G1893" s="58"/>
      <c r="H1893" s="59"/>
      <c r="I1893" s="58"/>
      <c r="K1893" s="60"/>
    </row>
    <row r="1894" s="37" customFormat="1" ht="12.75" spans="3:11">
      <c r="C1894" s="67"/>
      <c r="D1894" s="67"/>
      <c r="G1894" s="58"/>
      <c r="H1894" s="59"/>
      <c r="I1894" s="58"/>
      <c r="K1894" s="60"/>
    </row>
    <row r="1895" s="37" customFormat="1" ht="12.75" spans="3:11">
      <c r="C1895" s="67"/>
      <c r="D1895" s="67"/>
      <c r="G1895" s="58"/>
      <c r="H1895" s="59"/>
      <c r="I1895" s="58"/>
      <c r="K1895" s="60"/>
    </row>
    <row r="1896" s="37" customFormat="1" ht="12.75" spans="3:11">
      <c r="C1896" s="67"/>
      <c r="D1896" s="67"/>
      <c r="G1896" s="58"/>
      <c r="H1896" s="59"/>
      <c r="I1896" s="58"/>
      <c r="K1896" s="60"/>
    </row>
    <row r="1897" s="37" customFormat="1" ht="12.75" spans="3:11">
      <c r="C1897" s="67"/>
      <c r="D1897" s="67"/>
      <c r="G1897" s="58"/>
      <c r="H1897" s="59"/>
      <c r="I1897" s="58"/>
      <c r="K1897" s="60"/>
    </row>
    <row r="1898" s="37" customFormat="1" ht="12.75" spans="3:11">
      <c r="C1898" s="67"/>
      <c r="D1898" s="67"/>
      <c r="G1898" s="58"/>
      <c r="H1898" s="59"/>
      <c r="I1898" s="58"/>
      <c r="K1898" s="60"/>
    </row>
    <row r="1899" s="37" customFormat="1" ht="12.75" spans="3:11">
      <c r="C1899" s="67"/>
      <c r="D1899" s="67"/>
      <c r="G1899" s="58"/>
      <c r="H1899" s="59"/>
      <c r="I1899" s="58"/>
      <c r="K1899" s="60"/>
    </row>
    <row r="1900" s="37" customFormat="1" ht="12.75" spans="3:11">
      <c r="C1900" s="67"/>
      <c r="D1900" s="67"/>
      <c r="G1900" s="58"/>
      <c r="H1900" s="59"/>
      <c r="I1900" s="58"/>
      <c r="K1900" s="60"/>
    </row>
    <row r="1901" s="37" customFormat="1" ht="12.75" spans="3:11">
      <c r="C1901" s="67"/>
      <c r="D1901" s="67"/>
      <c r="G1901" s="58"/>
      <c r="H1901" s="59"/>
      <c r="I1901" s="58"/>
      <c r="K1901" s="60"/>
    </row>
    <row r="1902" s="37" customFormat="1" ht="12.75" spans="3:11">
      <c r="C1902" s="67"/>
      <c r="D1902" s="67"/>
      <c r="G1902" s="58"/>
      <c r="H1902" s="59"/>
      <c r="I1902" s="58"/>
      <c r="K1902" s="60"/>
    </row>
    <row r="1903" s="37" customFormat="1" ht="12.75" spans="3:11">
      <c r="C1903" s="67"/>
      <c r="D1903" s="67"/>
      <c r="G1903" s="58"/>
      <c r="H1903" s="59"/>
      <c r="I1903" s="58"/>
      <c r="K1903" s="60"/>
    </row>
    <row r="1904" s="37" customFormat="1" ht="12.75" spans="3:11">
      <c r="C1904" s="67"/>
      <c r="D1904" s="67"/>
      <c r="G1904" s="58"/>
      <c r="H1904" s="59"/>
      <c r="I1904" s="58"/>
      <c r="K1904" s="60"/>
    </row>
    <row r="1905" s="37" customFormat="1" ht="12.75" spans="3:11">
      <c r="C1905" s="67"/>
      <c r="D1905" s="67"/>
      <c r="G1905" s="58"/>
      <c r="H1905" s="59"/>
      <c r="I1905" s="58"/>
      <c r="K1905" s="60"/>
    </row>
    <row r="1906" s="37" customFormat="1" ht="12.75" spans="3:11">
      <c r="C1906" s="67"/>
      <c r="D1906" s="67"/>
      <c r="G1906" s="58"/>
      <c r="H1906" s="59"/>
      <c r="I1906" s="58"/>
      <c r="K1906" s="60"/>
    </row>
    <row r="1907" s="37" customFormat="1" ht="12.75" spans="3:11">
      <c r="C1907" s="67"/>
      <c r="D1907" s="67"/>
      <c r="G1907" s="58"/>
      <c r="H1907" s="59"/>
      <c r="I1907" s="58"/>
      <c r="K1907" s="60"/>
    </row>
    <row r="1908" s="37" customFormat="1" ht="12.75" spans="3:11">
      <c r="C1908" s="67"/>
      <c r="D1908" s="67"/>
      <c r="G1908" s="58"/>
      <c r="H1908" s="59"/>
      <c r="I1908" s="58"/>
      <c r="K1908" s="60"/>
    </row>
    <row r="1909" s="37" customFormat="1" ht="12.75" spans="3:11">
      <c r="C1909" s="67"/>
      <c r="D1909" s="67"/>
      <c r="G1909" s="58"/>
      <c r="H1909" s="59"/>
      <c r="I1909" s="58"/>
      <c r="K1909" s="60"/>
    </row>
    <row r="1910" s="37" customFormat="1" ht="12.75" spans="3:11">
      <c r="C1910" s="67"/>
      <c r="D1910" s="67"/>
      <c r="G1910" s="58"/>
      <c r="H1910" s="59"/>
      <c r="I1910" s="58"/>
      <c r="K1910" s="60"/>
    </row>
    <row r="1911" s="37" customFormat="1" ht="12.75" spans="3:11">
      <c r="C1911" s="67"/>
      <c r="D1911" s="67"/>
      <c r="G1911" s="58"/>
      <c r="H1911" s="59"/>
      <c r="I1911" s="58"/>
      <c r="K1911" s="60"/>
    </row>
    <row r="1912" s="37" customFormat="1" ht="12.75" spans="3:11">
      <c r="C1912" s="67"/>
      <c r="D1912" s="67"/>
      <c r="G1912" s="58"/>
      <c r="H1912" s="59"/>
      <c r="I1912" s="58"/>
      <c r="K1912" s="60"/>
    </row>
    <row r="1913" s="37" customFormat="1" ht="12.75" spans="3:11">
      <c r="C1913" s="67"/>
      <c r="D1913" s="67"/>
      <c r="G1913" s="58"/>
      <c r="H1913" s="59"/>
      <c r="I1913" s="58"/>
      <c r="K1913" s="60"/>
    </row>
    <row r="1914" s="37" customFormat="1" ht="12.75" spans="3:11">
      <c r="C1914" s="67"/>
      <c r="D1914" s="67"/>
      <c r="G1914" s="58"/>
      <c r="H1914" s="59"/>
      <c r="I1914" s="58"/>
      <c r="K1914" s="60"/>
    </row>
    <row r="1915" s="37" customFormat="1" ht="12.75" spans="3:11">
      <c r="C1915" s="67"/>
      <c r="D1915" s="67"/>
      <c r="G1915" s="58"/>
      <c r="H1915" s="59"/>
      <c r="I1915" s="58"/>
      <c r="K1915" s="60"/>
    </row>
    <row r="1916" s="37" customFormat="1" ht="12.75" spans="3:11">
      <c r="C1916" s="67"/>
      <c r="D1916" s="67"/>
      <c r="G1916" s="58"/>
      <c r="H1916" s="59"/>
      <c r="I1916" s="58"/>
      <c r="K1916" s="60"/>
    </row>
    <row r="1917" s="37" customFormat="1" ht="12.75" spans="3:11">
      <c r="C1917" s="67"/>
      <c r="D1917" s="67"/>
      <c r="G1917" s="58"/>
      <c r="H1917" s="59"/>
      <c r="I1917" s="58"/>
      <c r="K1917" s="60"/>
    </row>
    <row r="1918" s="37" customFormat="1" ht="12.75" spans="3:11">
      <c r="C1918" s="67"/>
      <c r="D1918" s="67"/>
      <c r="G1918" s="58"/>
      <c r="H1918" s="59"/>
      <c r="I1918" s="58"/>
      <c r="K1918" s="60"/>
    </row>
    <row r="1919" s="37" customFormat="1" ht="12.75" spans="3:11">
      <c r="C1919" s="67"/>
      <c r="D1919" s="67"/>
      <c r="G1919" s="58"/>
      <c r="H1919" s="59"/>
      <c r="I1919" s="58"/>
      <c r="K1919" s="60"/>
    </row>
    <row r="1920" s="37" customFormat="1" ht="12.75" spans="3:11">
      <c r="C1920" s="67"/>
      <c r="D1920" s="67"/>
      <c r="G1920" s="58"/>
      <c r="H1920" s="59"/>
      <c r="I1920" s="58"/>
      <c r="K1920" s="60"/>
    </row>
    <row r="1921" s="37" customFormat="1" ht="12.75" spans="3:11">
      <c r="C1921" s="67"/>
      <c r="D1921" s="67"/>
      <c r="G1921" s="58"/>
      <c r="H1921" s="59"/>
      <c r="I1921" s="58"/>
      <c r="K1921" s="60"/>
    </row>
    <row r="1922" s="37" customFormat="1" ht="12.75" spans="3:11">
      <c r="C1922" s="67"/>
      <c r="D1922" s="67"/>
      <c r="G1922" s="58"/>
      <c r="H1922" s="59"/>
      <c r="I1922" s="58"/>
      <c r="K1922" s="60"/>
    </row>
    <row r="1923" s="37" customFormat="1" ht="12.75" spans="3:11">
      <c r="C1923" s="67"/>
      <c r="D1923" s="67"/>
      <c r="G1923" s="58"/>
      <c r="H1923" s="59"/>
      <c r="I1923" s="58"/>
      <c r="K1923" s="60"/>
    </row>
    <row r="1924" s="37" customFormat="1" ht="12.75" spans="3:11">
      <c r="C1924" s="67"/>
      <c r="D1924" s="67"/>
      <c r="G1924" s="58"/>
      <c r="H1924" s="59"/>
      <c r="I1924" s="58"/>
      <c r="K1924" s="60"/>
    </row>
    <row r="1925" s="37" customFormat="1" ht="12.75" spans="3:11">
      <c r="C1925" s="67"/>
      <c r="D1925" s="67"/>
      <c r="G1925" s="58"/>
      <c r="H1925" s="59"/>
      <c r="I1925" s="58"/>
      <c r="K1925" s="60"/>
    </row>
    <row r="1926" s="37" customFormat="1" ht="12.75" spans="3:11">
      <c r="C1926" s="67"/>
      <c r="D1926" s="67"/>
      <c r="G1926" s="58"/>
      <c r="H1926" s="59"/>
      <c r="I1926" s="58"/>
      <c r="K1926" s="60"/>
    </row>
    <row r="1927" s="37" customFormat="1" ht="12.75" spans="3:11">
      <c r="C1927" s="67"/>
      <c r="D1927" s="67"/>
      <c r="G1927" s="58"/>
      <c r="H1927" s="59"/>
      <c r="I1927" s="58"/>
      <c r="K1927" s="60"/>
    </row>
    <row r="1928" s="37" customFormat="1" ht="12.75" spans="3:11">
      <c r="C1928" s="67"/>
      <c r="D1928" s="67"/>
      <c r="G1928" s="58"/>
      <c r="H1928" s="59"/>
      <c r="I1928" s="58"/>
      <c r="K1928" s="60"/>
    </row>
    <row r="1929" s="37" customFormat="1" ht="12.75" spans="3:11">
      <c r="C1929" s="67"/>
      <c r="D1929" s="67"/>
      <c r="G1929" s="58"/>
      <c r="H1929" s="59"/>
      <c r="I1929" s="58"/>
      <c r="K1929" s="60"/>
    </row>
    <row r="1930" s="37" customFormat="1" ht="12.75" spans="3:11">
      <c r="C1930" s="67"/>
      <c r="D1930" s="67"/>
      <c r="G1930" s="58"/>
      <c r="H1930" s="59"/>
      <c r="I1930" s="58"/>
      <c r="K1930" s="60"/>
    </row>
    <row r="1931" s="37" customFormat="1" ht="12.75" spans="3:11">
      <c r="C1931" s="67"/>
      <c r="D1931" s="67"/>
      <c r="G1931" s="58"/>
      <c r="H1931" s="59"/>
      <c r="I1931" s="58"/>
      <c r="K1931" s="60"/>
    </row>
    <row r="1932" s="37" customFormat="1" ht="12.75" spans="3:11">
      <c r="C1932" s="67"/>
      <c r="D1932" s="67"/>
      <c r="G1932" s="58"/>
      <c r="H1932" s="59"/>
      <c r="I1932" s="58"/>
      <c r="K1932" s="60"/>
    </row>
    <row r="1933" s="37" customFormat="1" ht="12.75" spans="3:11">
      <c r="C1933" s="67"/>
      <c r="D1933" s="67"/>
      <c r="G1933" s="58"/>
      <c r="H1933" s="59"/>
      <c r="I1933" s="58"/>
      <c r="K1933" s="60"/>
    </row>
    <row r="1934" s="37" customFormat="1" ht="12.75" spans="3:11">
      <c r="C1934" s="67"/>
      <c r="D1934" s="67"/>
      <c r="G1934" s="58"/>
      <c r="H1934" s="59"/>
      <c r="I1934" s="58"/>
      <c r="K1934" s="60"/>
    </row>
    <row r="1935" s="37" customFormat="1" ht="12.75" spans="3:11">
      <c r="C1935" s="67"/>
      <c r="D1935" s="67"/>
      <c r="G1935" s="58"/>
      <c r="H1935" s="59"/>
      <c r="I1935" s="58"/>
      <c r="K1935" s="60"/>
    </row>
    <row r="1936" s="37" customFormat="1" ht="12.75" spans="3:11">
      <c r="C1936" s="67"/>
      <c r="D1936" s="67"/>
      <c r="G1936" s="58"/>
      <c r="H1936" s="59"/>
      <c r="I1936" s="58"/>
      <c r="K1936" s="60"/>
    </row>
    <row r="1937" s="37" customFormat="1" ht="12.75" spans="3:11">
      <c r="C1937" s="67"/>
      <c r="D1937" s="67"/>
      <c r="G1937" s="58"/>
      <c r="H1937" s="59"/>
      <c r="I1937" s="58"/>
      <c r="K1937" s="60"/>
    </row>
    <row r="1938" s="37" customFormat="1" ht="12.75" spans="3:11">
      <c r="C1938" s="67"/>
      <c r="D1938" s="67"/>
      <c r="G1938" s="58"/>
      <c r="H1938" s="59"/>
      <c r="I1938" s="58"/>
      <c r="K1938" s="60"/>
    </row>
    <row r="1939" s="37" customFormat="1" ht="12.75" spans="3:11">
      <c r="C1939" s="67"/>
      <c r="D1939" s="67"/>
      <c r="G1939" s="58"/>
      <c r="H1939" s="59"/>
      <c r="I1939" s="58"/>
      <c r="K1939" s="60"/>
    </row>
    <row r="1940" s="37" customFormat="1" ht="12.75" spans="3:11">
      <c r="C1940" s="67"/>
      <c r="D1940" s="67"/>
      <c r="G1940" s="58"/>
      <c r="H1940" s="59"/>
      <c r="I1940" s="58"/>
      <c r="K1940" s="60"/>
    </row>
    <row r="1941" s="37" customFormat="1" ht="12.75" spans="3:11">
      <c r="C1941" s="67"/>
      <c r="D1941" s="67"/>
      <c r="G1941" s="58"/>
      <c r="H1941" s="59"/>
      <c r="I1941" s="58"/>
      <c r="K1941" s="60"/>
    </row>
    <row r="1942" s="37" customFormat="1" ht="12.75" spans="3:11">
      <c r="C1942" s="67"/>
      <c r="D1942" s="67"/>
      <c r="G1942" s="58"/>
      <c r="H1942" s="59"/>
      <c r="I1942" s="58"/>
      <c r="K1942" s="60"/>
    </row>
    <row r="1943" s="37" customFormat="1" ht="12.75" spans="3:11">
      <c r="C1943" s="67"/>
      <c r="D1943" s="67"/>
      <c r="G1943" s="58"/>
      <c r="H1943" s="59"/>
      <c r="I1943" s="58"/>
      <c r="K1943" s="60"/>
    </row>
    <row r="1944" s="37" customFormat="1" ht="12.75" spans="3:11">
      <c r="C1944" s="67"/>
      <c r="D1944" s="67"/>
      <c r="G1944" s="58"/>
      <c r="H1944" s="59"/>
      <c r="I1944" s="58"/>
      <c r="K1944" s="60"/>
    </row>
    <row r="1945" s="37" customFormat="1" ht="12.75" spans="3:11">
      <c r="C1945" s="67"/>
      <c r="D1945" s="67"/>
      <c r="G1945" s="58"/>
      <c r="H1945" s="59"/>
      <c r="I1945" s="58"/>
      <c r="K1945" s="60"/>
    </row>
    <row r="1946" s="37" customFormat="1" ht="12.75" spans="3:11">
      <c r="C1946" s="67"/>
      <c r="D1946" s="67"/>
      <c r="G1946" s="58"/>
      <c r="H1946" s="59"/>
      <c r="I1946" s="58"/>
      <c r="K1946" s="60"/>
    </row>
    <row r="1947" s="37" customFormat="1" ht="12.75" spans="3:11">
      <c r="C1947" s="67"/>
      <c r="D1947" s="67"/>
      <c r="G1947" s="58"/>
      <c r="H1947" s="59"/>
      <c r="I1947" s="58"/>
      <c r="K1947" s="60"/>
    </row>
    <row r="1948" s="37" customFormat="1" ht="12.75" spans="3:11">
      <c r="C1948" s="67"/>
      <c r="D1948" s="67"/>
      <c r="G1948" s="58"/>
      <c r="H1948" s="59"/>
      <c r="I1948" s="58"/>
      <c r="K1948" s="60"/>
    </row>
    <row r="1949" s="37" customFormat="1" ht="12.75" spans="3:11">
      <c r="C1949" s="67"/>
      <c r="D1949" s="67"/>
      <c r="G1949" s="58"/>
      <c r="H1949" s="59"/>
      <c r="I1949" s="58"/>
      <c r="K1949" s="60"/>
    </row>
    <row r="1950" s="37" customFormat="1" ht="12.75" spans="3:11">
      <c r="C1950" s="67"/>
      <c r="D1950" s="67"/>
      <c r="G1950" s="58"/>
      <c r="H1950" s="59"/>
      <c r="I1950" s="58"/>
      <c r="K1950" s="60"/>
    </row>
    <row r="1951" s="37" customFormat="1" ht="12.75" spans="3:11">
      <c r="C1951" s="67"/>
      <c r="D1951" s="67"/>
      <c r="G1951" s="58"/>
      <c r="H1951" s="59"/>
      <c r="I1951" s="58"/>
      <c r="K1951" s="60"/>
    </row>
    <row r="1952" s="37" customFormat="1" ht="12.75" spans="3:11">
      <c r="C1952" s="67"/>
      <c r="D1952" s="67"/>
      <c r="G1952" s="58"/>
      <c r="H1952" s="59"/>
      <c r="I1952" s="58"/>
      <c r="K1952" s="60"/>
    </row>
    <row r="1953" s="37" customFormat="1" ht="12.75" spans="3:11">
      <c r="C1953" s="67"/>
      <c r="D1953" s="67"/>
      <c r="G1953" s="58"/>
      <c r="H1953" s="59"/>
      <c r="I1953" s="58"/>
      <c r="K1953" s="60"/>
    </row>
    <row r="1954" s="37" customFormat="1" ht="12.75" spans="3:11">
      <c r="C1954" s="67"/>
      <c r="D1954" s="67"/>
      <c r="G1954" s="58"/>
      <c r="H1954" s="59"/>
      <c r="I1954" s="58"/>
      <c r="K1954" s="60"/>
    </row>
    <row r="1955" s="37" customFormat="1" ht="12.75" spans="3:11">
      <c r="C1955" s="67"/>
      <c r="D1955" s="67"/>
      <c r="G1955" s="58"/>
      <c r="H1955" s="59"/>
      <c r="I1955" s="58"/>
      <c r="K1955" s="60"/>
    </row>
    <row r="1956" s="37" customFormat="1" ht="12.75" spans="3:11">
      <c r="C1956" s="67"/>
      <c r="D1956" s="67"/>
      <c r="G1956" s="58"/>
      <c r="H1956" s="59"/>
      <c r="I1956" s="58"/>
      <c r="K1956" s="60"/>
    </row>
    <row r="1957" s="37" customFormat="1" ht="12.75" spans="3:11">
      <c r="C1957" s="67"/>
      <c r="D1957" s="67"/>
      <c r="G1957" s="58"/>
      <c r="H1957" s="59"/>
      <c r="I1957" s="58"/>
      <c r="K1957" s="60"/>
    </row>
    <row r="1958" s="37" customFormat="1" ht="12.75" spans="3:11">
      <c r="C1958" s="67"/>
      <c r="D1958" s="67"/>
      <c r="G1958" s="58"/>
      <c r="H1958" s="59"/>
      <c r="I1958" s="58"/>
      <c r="K1958" s="60"/>
    </row>
    <row r="1959" s="37" customFormat="1" ht="12.75" spans="3:11">
      <c r="C1959" s="67"/>
      <c r="D1959" s="67"/>
      <c r="G1959" s="58"/>
      <c r="H1959" s="59"/>
      <c r="I1959" s="58"/>
      <c r="K1959" s="60"/>
    </row>
    <row r="1960" s="37" customFormat="1" ht="12.75" spans="3:11">
      <c r="C1960" s="67"/>
      <c r="D1960" s="67"/>
      <c r="G1960" s="58"/>
      <c r="H1960" s="59"/>
      <c r="I1960" s="58"/>
      <c r="K1960" s="60"/>
    </row>
    <row r="1961" s="37" customFormat="1" ht="12.75" spans="3:11">
      <c r="C1961" s="67"/>
      <c r="D1961" s="67"/>
      <c r="G1961" s="58"/>
      <c r="H1961" s="59"/>
      <c r="I1961" s="58"/>
      <c r="K1961" s="60"/>
    </row>
    <row r="1962" s="37" customFormat="1" ht="12.75" spans="3:11">
      <c r="C1962" s="67"/>
      <c r="D1962" s="67"/>
      <c r="G1962" s="58"/>
      <c r="H1962" s="59"/>
      <c r="I1962" s="58"/>
      <c r="K1962" s="60"/>
    </row>
    <row r="1963" s="37" customFormat="1" ht="12.75" spans="3:11">
      <c r="C1963" s="67"/>
      <c r="D1963" s="67"/>
      <c r="G1963" s="58"/>
      <c r="H1963" s="59"/>
      <c r="I1963" s="58"/>
      <c r="K1963" s="60"/>
    </row>
    <row r="1964" s="37" customFormat="1" ht="12.75" spans="3:11">
      <c r="C1964" s="67"/>
      <c r="D1964" s="67"/>
      <c r="G1964" s="58"/>
      <c r="H1964" s="59"/>
      <c r="I1964" s="58"/>
      <c r="K1964" s="60"/>
    </row>
    <row r="1965" s="37" customFormat="1" ht="12.75" spans="3:11">
      <c r="C1965" s="67"/>
      <c r="D1965" s="67"/>
      <c r="G1965" s="58"/>
      <c r="H1965" s="59"/>
      <c r="I1965" s="58"/>
      <c r="K1965" s="60"/>
    </row>
    <row r="1966" s="37" customFormat="1" ht="12.75" spans="3:11">
      <c r="C1966" s="67"/>
      <c r="D1966" s="67"/>
      <c r="G1966" s="58"/>
      <c r="H1966" s="59"/>
      <c r="I1966" s="58"/>
      <c r="K1966" s="60"/>
    </row>
    <row r="1967" s="37" customFormat="1" ht="12.75" spans="3:11">
      <c r="C1967" s="67"/>
      <c r="D1967" s="67"/>
      <c r="G1967" s="58"/>
      <c r="H1967" s="59"/>
      <c r="I1967" s="58"/>
      <c r="K1967" s="60"/>
    </row>
    <row r="1968" s="37" customFormat="1" ht="12.75" spans="3:11">
      <c r="C1968" s="67"/>
      <c r="D1968" s="67"/>
      <c r="G1968" s="58"/>
      <c r="H1968" s="59"/>
      <c r="I1968" s="58"/>
      <c r="K1968" s="60"/>
    </row>
    <row r="1969" s="37" customFormat="1" ht="12.75" spans="3:11">
      <c r="C1969" s="67"/>
      <c r="D1969" s="67"/>
      <c r="G1969" s="58"/>
      <c r="H1969" s="59"/>
      <c r="I1969" s="58"/>
      <c r="K1969" s="60"/>
    </row>
    <row r="1970" s="37" customFormat="1" ht="12.75" spans="3:11">
      <c r="C1970" s="67"/>
      <c r="D1970" s="67"/>
      <c r="G1970" s="58"/>
      <c r="H1970" s="59"/>
      <c r="I1970" s="58"/>
      <c r="K1970" s="60"/>
    </row>
    <row r="1971" s="37" customFormat="1" ht="12.75" spans="3:11">
      <c r="C1971" s="67"/>
      <c r="D1971" s="67"/>
      <c r="G1971" s="58"/>
      <c r="H1971" s="59"/>
      <c r="I1971" s="58"/>
      <c r="K1971" s="60"/>
    </row>
    <row r="1972" s="37" customFormat="1" ht="12.75" spans="3:11">
      <c r="C1972" s="67"/>
      <c r="D1972" s="67"/>
      <c r="G1972" s="58"/>
      <c r="H1972" s="59"/>
      <c r="I1972" s="58"/>
      <c r="K1972" s="60"/>
    </row>
    <row r="1973" s="37" customFormat="1" ht="12.75" spans="3:11">
      <c r="C1973" s="67"/>
      <c r="D1973" s="67"/>
      <c r="G1973" s="58"/>
      <c r="H1973" s="59"/>
      <c r="I1973" s="58"/>
      <c r="K1973" s="60"/>
    </row>
    <row r="1974" s="37" customFormat="1" ht="12.75" spans="3:11">
      <c r="C1974" s="67"/>
      <c r="D1974" s="67"/>
      <c r="G1974" s="58"/>
      <c r="H1974" s="59"/>
      <c r="I1974" s="58"/>
      <c r="K1974" s="60"/>
    </row>
    <row r="1975" s="37" customFormat="1" ht="12.75" spans="3:11">
      <c r="C1975" s="67"/>
      <c r="D1975" s="67"/>
      <c r="G1975" s="58"/>
      <c r="H1975" s="59"/>
      <c r="I1975" s="58"/>
      <c r="K1975" s="60"/>
    </row>
    <row r="1976" s="37" customFormat="1" ht="12.75" spans="3:11">
      <c r="C1976" s="67"/>
      <c r="D1976" s="67"/>
      <c r="G1976" s="58"/>
      <c r="H1976" s="59"/>
      <c r="I1976" s="58"/>
      <c r="K1976" s="60"/>
    </row>
    <row r="1977" s="37" customFormat="1" ht="12.75" spans="3:11">
      <c r="C1977" s="67"/>
      <c r="D1977" s="67"/>
      <c r="G1977" s="58"/>
      <c r="H1977" s="59"/>
      <c r="I1977" s="58"/>
      <c r="K1977" s="60"/>
    </row>
    <row r="1978" s="37" customFormat="1" ht="12.75" spans="3:11">
      <c r="C1978" s="67"/>
      <c r="D1978" s="67"/>
      <c r="G1978" s="58"/>
      <c r="H1978" s="59"/>
      <c r="I1978" s="58"/>
      <c r="K1978" s="60"/>
    </row>
    <row r="1979" s="37" customFormat="1" ht="12.75" spans="3:11">
      <c r="C1979" s="67"/>
      <c r="D1979" s="67"/>
      <c r="G1979" s="58"/>
      <c r="H1979" s="59"/>
      <c r="I1979" s="58"/>
      <c r="K1979" s="60"/>
    </row>
    <row r="1980" s="37" customFormat="1" ht="12.75" spans="3:11">
      <c r="C1980" s="67"/>
      <c r="D1980" s="67"/>
      <c r="G1980" s="58"/>
      <c r="H1980" s="59"/>
      <c r="I1980" s="58"/>
      <c r="K1980" s="60"/>
    </row>
    <row r="1981" s="37" customFormat="1" ht="12.75" spans="3:11">
      <c r="C1981" s="67"/>
      <c r="D1981" s="67"/>
      <c r="G1981" s="58"/>
      <c r="H1981" s="59"/>
      <c r="I1981" s="58"/>
      <c r="K1981" s="60"/>
    </row>
    <row r="1982" s="37" customFormat="1" ht="12.75" spans="3:11">
      <c r="C1982" s="67"/>
      <c r="D1982" s="67"/>
      <c r="G1982" s="58"/>
      <c r="H1982" s="59"/>
      <c r="I1982" s="58"/>
      <c r="K1982" s="60"/>
    </row>
    <row r="1983" s="37" customFormat="1" ht="12.75" spans="3:11">
      <c r="C1983" s="67"/>
      <c r="D1983" s="67"/>
      <c r="G1983" s="58"/>
      <c r="H1983" s="59"/>
      <c r="I1983" s="58"/>
      <c r="K1983" s="60"/>
    </row>
    <row r="1984" s="37" customFormat="1" ht="12.75" spans="3:11">
      <c r="C1984" s="67"/>
      <c r="D1984" s="67"/>
      <c r="G1984" s="58"/>
      <c r="H1984" s="59"/>
      <c r="I1984" s="58"/>
      <c r="K1984" s="60"/>
    </row>
    <row r="1985" s="37" customFormat="1" ht="12.75" spans="3:11">
      <c r="C1985" s="67"/>
      <c r="D1985" s="67"/>
      <c r="G1985" s="58"/>
      <c r="H1985" s="59"/>
      <c r="I1985" s="58"/>
      <c r="K1985" s="60"/>
    </row>
    <row r="1986" s="37" customFormat="1" ht="12.75" spans="3:11">
      <c r="C1986" s="67"/>
      <c r="D1986" s="67"/>
      <c r="G1986" s="58"/>
      <c r="H1986" s="59"/>
      <c r="I1986" s="58"/>
      <c r="K1986" s="60"/>
    </row>
    <row r="1987" s="37" customFormat="1" ht="12.75" spans="3:11">
      <c r="C1987" s="67"/>
      <c r="D1987" s="67"/>
      <c r="G1987" s="58"/>
      <c r="H1987" s="59"/>
      <c r="I1987" s="58"/>
      <c r="K1987" s="60"/>
    </row>
    <row r="1988" s="37" customFormat="1" ht="12.75" spans="3:11">
      <c r="C1988" s="67"/>
      <c r="D1988" s="67"/>
      <c r="G1988" s="58"/>
      <c r="H1988" s="59"/>
      <c r="I1988" s="58"/>
      <c r="K1988" s="60"/>
    </row>
    <row r="1989" s="37" customFormat="1" ht="12.75" spans="3:11">
      <c r="C1989" s="67"/>
      <c r="D1989" s="67"/>
      <c r="G1989" s="58"/>
      <c r="H1989" s="59"/>
      <c r="I1989" s="58"/>
      <c r="K1989" s="60"/>
    </row>
    <row r="1990" s="37" customFormat="1" ht="12.75" spans="3:11">
      <c r="C1990" s="67"/>
      <c r="D1990" s="67"/>
      <c r="G1990" s="58"/>
      <c r="H1990" s="59"/>
      <c r="I1990" s="58"/>
      <c r="K1990" s="60"/>
    </row>
    <row r="1991" s="37" customFormat="1" ht="12.75" spans="3:11">
      <c r="C1991" s="67"/>
      <c r="D1991" s="67"/>
      <c r="G1991" s="58"/>
      <c r="H1991" s="59"/>
      <c r="I1991" s="58"/>
      <c r="K1991" s="60"/>
    </row>
    <row r="1992" s="37" customFormat="1" ht="12.75" spans="3:11">
      <c r="C1992" s="67"/>
      <c r="D1992" s="67"/>
      <c r="G1992" s="58"/>
      <c r="H1992" s="59"/>
      <c r="I1992" s="58"/>
      <c r="K1992" s="60"/>
    </row>
    <row r="1993" s="37" customFormat="1" ht="12.75" spans="3:11">
      <c r="C1993" s="67"/>
      <c r="D1993" s="67"/>
      <c r="G1993" s="58"/>
      <c r="H1993" s="59"/>
      <c r="I1993" s="58"/>
      <c r="K1993" s="60"/>
    </row>
    <row r="1994" s="37" customFormat="1" ht="12.75" spans="3:11">
      <c r="C1994" s="67"/>
      <c r="D1994" s="67"/>
      <c r="G1994" s="58"/>
      <c r="H1994" s="59"/>
      <c r="I1994" s="58"/>
      <c r="K1994" s="60"/>
    </row>
    <row r="1995" s="37" customFormat="1" ht="12.75" spans="3:11">
      <c r="C1995" s="67"/>
      <c r="D1995" s="67"/>
      <c r="G1995" s="58"/>
      <c r="H1995" s="59"/>
      <c r="I1995" s="58"/>
      <c r="K1995" s="60"/>
    </row>
    <row r="1996" s="37" customFormat="1" ht="12.75" spans="3:11">
      <c r="C1996" s="67"/>
      <c r="D1996" s="67"/>
      <c r="G1996" s="58"/>
      <c r="H1996" s="59"/>
      <c r="I1996" s="58"/>
      <c r="K1996" s="60"/>
    </row>
    <row r="1997" s="37" customFormat="1" ht="12.75" spans="3:11">
      <c r="C1997" s="67"/>
      <c r="D1997" s="67"/>
      <c r="G1997" s="58"/>
      <c r="H1997" s="59"/>
      <c r="I1997" s="58"/>
      <c r="K1997" s="60"/>
    </row>
    <row r="1998" s="37" customFormat="1" ht="12.75" spans="3:11">
      <c r="C1998" s="67"/>
      <c r="D1998" s="67"/>
      <c r="G1998" s="58"/>
      <c r="H1998" s="59"/>
      <c r="I1998" s="58"/>
      <c r="K1998" s="60"/>
    </row>
    <row r="1999" s="37" customFormat="1" ht="12.75" spans="3:11">
      <c r="C1999" s="67"/>
      <c r="D1999" s="67"/>
      <c r="G1999" s="58"/>
      <c r="H1999" s="59"/>
      <c r="I1999" s="58"/>
      <c r="K1999" s="60"/>
    </row>
    <row r="2000" s="37" customFormat="1" ht="12.75" spans="3:11">
      <c r="C2000" s="67"/>
      <c r="D2000" s="67"/>
      <c r="G2000" s="58"/>
      <c r="H2000" s="59"/>
      <c r="I2000" s="58"/>
      <c r="K2000" s="60"/>
    </row>
    <row r="2001" s="37" customFormat="1" ht="12.75" spans="3:11">
      <c r="C2001" s="67"/>
      <c r="D2001" s="67"/>
      <c r="G2001" s="58"/>
      <c r="H2001" s="59"/>
      <c r="I2001" s="58"/>
      <c r="K2001" s="60"/>
    </row>
    <row r="2002" s="37" customFormat="1" ht="12.75" spans="3:11">
      <c r="C2002" s="67"/>
      <c r="D2002" s="67"/>
      <c r="G2002" s="58"/>
      <c r="H2002" s="59"/>
      <c r="I2002" s="58"/>
      <c r="K2002" s="60"/>
    </row>
    <row r="2003" s="37" customFormat="1" ht="12.75" spans="3:11">
      <c r="C2003" s="67"/>
      <c r="D2003" s="67"/>
      <c r="G2003" s="58"/>
      <c r="H2003" s="59"/>
      <c r="I2003" s="58"/>
      <c r="K2003" s="60"/>
    </row>
    <row r="2004" s="37" customFormat="1" ht="12.75" spans="3:11">
      <c r="C2004" s="67"/>
      <c r="D2004" s="67"/>
      <c r="G2004" s="58"/>
      <c r="H2004" s="59"/>
      <c r="I2004" s="58"/>
      <c r="K2004" s="60"/>
    </row>
    <row r="2005" s="37" customFormat="1" ht="12.75" spans="3:11">
      <c r="C2005" s="67"/>
      <c r="D2005" s="67"/>
      <c r="G2005" s="58"/>
      <c r="H2005" s="59"/>
      <c r="I2005" s="58"/>
      <c r="K2005" s="60"/>
    </row>
    <row r="2006" s="37" customFormat="1" ht="12.75" spans="3:11">
      <c r="C2006" s="67"/>
      <c r="D2006" s="67"/>
      <c r="G2006" s="58"/>
      <c r="H2006" s="59"/>
      <c r="I2006" s="58"/>
      <c r="K2006" s="60"/>
    </row>
    <row r="2007" s="37" customFormat="1" ht="12.75" spans="3:11">
      <c r="C2007" s="67"/>
      <c r="D2007" s="67"/>
      <c r="G2007" s="58"/>
      <c r="H2007" s="59"/>
      <c r="I2007" s="58"/>
      <c r="K2007" s="60"/>
    </row>
    <row r="2008" s="37" customFormat="1" ht="12.75" spans="3:11">
      <c r="C2008" s="67"/>
      <c r="D2008" s="67"/>
      <c r="G2008" s="58"/>
      <c r="H2008" s="59"/>
      <c r="I2008" s="58"/>
      <c r="K2008" s="60"/>
    </row>
    <row r="2009" s="37" customFormat="1" ht="12.75" spans="3:11">
      <c r="C2009" s="67"/>
      <c r="D2009" s="67"/>
      <c r="G2009" s="58"/>
      <c r="H2009" s="59"/>
      <c r="I2009" s="58"/>
      <c r="K2009" s="60"/>
    </row>
    <row r="2010" s="37" customFormat="1" ht="12.75" spans="3:11">
      <c r="C2010" s="67"/>
      <c r="D2010" s="67"/>
      <c r="G2010" s="58"/>
      <c r="H2010" s="59"/>
      <c r="I2010" s="58"/>
      <c r="K2010" s="60"/>
    </row>
    <row r="2011" s="37" customFormat="1" ht="12.75" spans="3:11">
      <c r="C2011" s="67"/>
      <c r="D2011" s="67"/>
      <c r="G2011" s="58"/>
      <c r="H2011" s="59"/>
      <c r="I2011" s="58"/>
      <c r="K2011" s="60"/>
    </row>
    <row r="2012" s="37" customFormat="1" ht="12.75" spans="3:11">
      <c r="C2012" s="67"/>
      <c r="D2012" s="67"/>
      <c r="G2012" s="58"/>
      <c r="H2012" s="59"/>
      <c r="I2012" s="58"/>
      <c r="K2012" s="60"/>
    </row>
    <row r="2013" s="37" customFormat="1" ht="12.75" spans="3:11">
      <c r="C2013" s="67"/>
      <c r="D2013" s="67"/>
      <c r="G2013" s="58"/>
      <c r="H2013" s="59"/>
      <c r="I2013" s="58"/>
      <c r="K2013" s="60"/>
    </row>
    <row r="2014" s="37" customFormat="1" ht="12.75" spans="3:11">
      <c r="C2014" s="67"/>
      <c r="D2014" s="67"/>
      <c r="G2014" s="58"/>
      <c r="H2014" s="59"/>
      <c r="I2014" s="58"/>
      <c r="K2014" s="60"/>
    </row>
    <row r="2015" s="37" customFormat="1" ht="12.75" spans="3:11">
      <c r="C2015" s="67"/>
      <c r="D2015" s="67"/>
      <c r="G2015" s="58"/>
      <c r="H2015" s="59"/>
      <c r="I2015" s="58"/>
      <c r="K2015" s="60"/>
    </row>
    <row r="2016" s="37" customFormat="1" ht="12.75" spans="3:11">
      <c r="C2016" s="67"/>
      <c r="D2016" s="67"/>
      <c r="G2016" s="58"/>
      <c r="H2016" s="59"/>
      <c r="I2016" s="58"/>
      <c r="K2016" s="60"/>
    </row>
    <row r="2017" s="37" customFormat="1" ht="12.75" spans="3:14">
      <c r="C2017" s="67"/>
      <c r="D2017" s="67"/>
      <c r="G2017" s="58"/>
      <c r="H2017" s="59"/>
      <c r="I2017" s="58"/>
      <c r="K2017" s="60"/>
    </row>
    <row r="2018" s="37" customFormat="1" ht="12.75" spans="3:14">
      <c r="C2018" s="67"/>
      <c r="D2018" s="67"/>
      <c r="G2018" s="58"/>
      <c r="H2018" s="59"/>
      <c r="I2018" s="58"/>
      <c r="K2018" s="60"/>
    </row>
    <row r="2019" s="37" customFormat="1" ht="12.75" spans="3:14">
      <c r="C2019" s="67"/>
      <c r="D2019" s="67"/>
      <c r="G2019" s="58"/>
      <c r="H2019" s="59"/>
      <c r="I2019" s="58"/>
      <c r="K2019" s="60"/>
    </row>
    <row r="2020" s="37" customFormat="1" ht="12.75" spans="3:14">
      <c r="C2020" s="67"/>
      <c r="D2020" s="67"/>
      <c r="G2020" s="58"/>
      <c r="H2020" s="59"/>
      <c r="I2020" s="58"/>
      <c r="K2020" s="60"/>
    </row>
    <row r="2021" s="37" customFormat="1" ht="12.75" spans="3:14">
      <c r="C2021" s="67"/>
      <c r="D2021" s="67"/>
      <c r="G2021" s="58"/>
      <c r="H2021" s="59"/>
      <c r="I2021" s="58"/>
      <c r="K2021" s="60"/>
    </row>
    <row r="2022" s="37" customFormat="1" ht="12.75" spans="3:14">
      <c r="C2022" s="67"/>
      <c r="D2022" s="67"/>
      <c r="G2022" s="58"/>
      <c r="H2022" s="59"/>
      <c r="I2022" s="58"/>
      <c r="K2022" s="60"/>
    </row>
    <row r="2023" s="37" customFormat="1" ht="12.75" spans="3:14">
      <c r="C2023" s="67"/>
      <c r="D2023" s="67"/>
      <c r="G2023" s="58"/>
      <c r="H2023" s="59"/>
      <c r="I2023" s="58"/>
      <c r="K2023" s="60"/>
      <c r="N2023" s="62"/>
    </row>
    <row r="2024" s="37" customFormat="1" ht="12.75" spans="3:14">
      <c r="C2024" s="67"/>
      <c r="D2024" s="67"/>
      <c r="G2024" s="58"/>
      <c r="H2024" s="59"/>
      <c r="I2024" s="58"/>
      <c r="K2024" s="60"/>
      <c r="N2024" s="62"/>
    </row>
    <row r="2025" s="37" customFormat="1" ht="12.75" spans="3:14">
      <c r="C2025" s="67"/>
      <c r="D2025" s="67"/>
      <c r="G2025" s="58"/>
      <c r="H2025" s="59"/>
      <c r="I2025" s="58"/>
      <c r="K2025" s="60"/>
      <c r="N2025" s="62"/>
    </row>
    <row r="2026" s="37" customFormat="1" ht="12.75" spans="3:14">
      <c r="C2026" s="67"/>
      <c r="D2026" s="67"/>
      <c r="G2026" s="58"/>
      <c r="H2026" s="59"/>
      <c r="I2026" s="58"/>
      <c r="K2026" s="60"/>
      <c r="N2026" s="62"/>
    </row>
    <row r="2027" s="37" customFormat="1" ht="12.75" spans="3:14">
      <c r="C2027" s="67"/>
      <c r="D2027" s="67"/>
      <c r="G2027" s="58"/>
      <c r="H2027" s="59"/>
      <c r="I2027" s="58"/>
      <c r="K2027" s="60"/>
      <c r="N2027" s="62"/>
    </row>
    <row r="2028" s="37" customFormat="1" ht="12.75" spans="3:14">
      <c r="C2028" s="67"/>
      <c r="D2028" s="67"/>
      <c r="G2028" s="58"/>
      <c r="H2028" s="59"/>
      <c r="I2028" s="58"/>
      <c r="K2028" s="60"/>
      <c r="N2028" s="62"/>
    </row>
    <row r="2029" s="37" customFormat="1" ht="12.75" spans="3:14">
      <c r="C2029" s="67"/>
      <c r="D2029" s="67"/>
      <c r="G2029" s="58"/>
      <c r="H2029" s="59"/>
      <c r="I2029" s="58"/>
      <c r="K2029" s="60"/>
      <c r="N2029" s="62"/>
    </row>
    <row r="2030" s="37" customFormat="1" ht="12.75" spans="3:14">
      <c r="C2030" s="67"/>
      <c r="D2030" s="67"/>
      <c r="G2030" s="58"/>
      <c r="H2030" s="59"/>
      <c r="I2030" s="58"/>
      <c r="K2030" s="60"/>
      <c r="N2030" s="62"/>
    </row>
    <row r="2031" s="37" customFormat="1" ht="12.75" spans="3:14">
      <c r="C2031" s="67"/>
      <c r="D2031" s="67"/>
      <c r="G2031" s="58"/>
      <c r="H2031" s="59"/>
      <c r="I2031" s="58"/>
      <c r="K2031" s="60"/>
      <c r="N2031" s="62"/>
    </row>
    <row r="2032" s="37" customFormat="1" ht="12.75" spans="3:14">
      <c r="C2032" s="67"/>
      <c r="D2032" s="67"/>
      <c r="G2032" s="58"/>
      <c r="H2032" s="59"/>
      <c r="I2032" s="58"/>
      <c r="K2032" s="60"/>
      <c r="N2032" s="62"/>
    </row>
    <row r="2033" s="37" customFormat="1" ht="12.75" spans="3:14">
      <c r="C2033" s="67"/>
      <c r="D2033" s="67"/>
      <c r="G2033" s="58"/>
      <c r="H2033" s="59"/>
      <c r="I2033" s="58"/>
      <c r="K2033" s="60"/>
      <c r="N2033" s="62"/>
    </row>
    <row r="2034" s="37" customFormat="1" ht="12.75" spans="3:14">
      <c r="C2034" s="67"/>
      <c r="D2034" s="67"/>
      <c r="G2034" s="58"/>
      <c r="H2034" s="59"/>
      <c r="I2034" s="58"/>
      <c r="K2034" s="60"/>
      <c r="N2034" s="62"/>
    </row>
    <row r="2035" s="37" customFormat="1" ht="12.75" spans="3:14">
      <c r="C2035" s="67"/>
      <c r="D2035" s="67"/>
      <c r="G2035" s="58"/>
      <c r="H2035" s="59"/>
      <c r="I2035" s="58"/>
      <c r="K2035" s="60"/>
    </row>
    <row r="2036" s="37" customFormat="1" ht="12.75" spans="3:14">
      <c r="C2036" s="67"/>
      <c r="D2036" s="67"/>
      <c r="G2036" s="58"/>
      <c r="H2036" s="59"/>
      <c r="I2036" s="58"/>
      <c r="K2036" s="60"/>
    </row>
    <row r="2037" s="37" customFormat="1" ht="12.75" spans="3:14">
      <c r="C2037" s="67"/>
      <c r="D2037" s="67"/>
      <c r="G2037" s="58"/>
      <c r="H2037" s="59"/>
      <c r="I2037" s="58"/>
      <c r="K2037" s="60"/>
    </row>
    <row r="2038" s="37" customFormat="1" ht="12.75" spans="3:14">
      <c r="C2038" s="67"/>
      <c r="D2038" s="67"/>
      <c r="G2038" s="58"/>
      <c r="H2038" s="59"/>
      <c r="I2038" s="58"/>
      <c r="K2038" s="60"/>
    </row>
    <row r="2039" s="37" customFormat="1" ht="12.75" spans="3:14">
      <c r="C2039" s="67"/>
      <c r="D2039" s="67"/>
      <c r="G2039" s="58"/>
      <c r="H2039" s="59"/>
      <c r="I2039" s="58"/>
      <c r="K2039" s="60"/>
    </row>
    <row r="2040" s="37" customFormat="1" ht="12.75" spans="3:14">
      <c r="C2040" s="67"/>
      <c r="D2040" s="67"/>
      <c r="G2040" s="58"/>
      <c r="H2040" s="59"/>
      <c r="I2040" s="58"/>
      <c r="K2040" s="60"/>
    </row>
    <row r="2041" s="37" customFormat="1" ht="12.75" spans="3:14">
      <c r="C2041" s="67"/>
      <c r="D2041" s="67"/>
      <c r="G2041" s="58"/>
      <c r="H2041" s="59"/>
      <c r="I2041" s="58"/>
      <c r="K2041" s="60"/>
    </row>
    <row r="2042" s="37" customFormat="1" ht="12.75" spans="3:14">
      <c r="C2042" s="67"/>
      <c r="D2042" s="67"/>
      <c r="G2042" s="58"/>
      <c r="H2042" s="59"/>
      <c r="I2042" s="58"/>
      <c r="K2042" s="60"/>
    </row>
    <row r="2043" s="37" customFormat="1" ht="12.75" spans="3:14">
      <c r="C2043" s="67"/>
      <c r="D2043" s="67"/>
      <c r="G2043" s="58"/>
      <c r="H2043" s="59"/>
      <c r="I2043" s="58"/>
      <c r="K2043" s="60"/>
    </row>
    <row r="2044" s="37" customFormat="1" ht="12.75" spans="3:14">
      <c r="C2044" s="67"/>
      <c r="D2044" s="67"/>
      <c r="G2044" s="58"/>
      <c r="H2044" s="59"/>
      <c r="I2044" s="58"/>
      <c r="K2044" s="60"/>
    </row>
    <row r="2045" s="37" customFormat="1" ht="12.75" spans="3:14">
      <c r="C2045" s="67"/>
      <c r="D2045" s="67"/>
      <c r="G2045" s="58"/>
      <c r="H2045" s="59"/>
      <c r="I2045" s="58"/>
      <c r="K2045" s="60"/>
    </row>
    <row r="2046" s="37" customFormat="1" ht="12.75" spans="3:14">
      <c r="C2046" s="67"/>
      <c r="D2046" s="67"/>
      <c r="G2046" s="58"/>
      <c r="H2046" s="59"/>
      <c r="I2046" s="58"/>
      <c r="K2046" s="60"/>
    </row>
    <row r="2047" s="37" customFormat="1" ht="12.75" spans="3:14">
      <c r="C2047" s="67"/>
      <c r="D2047" s="67"/>
      <c r="G2047" s="58"/>
      <c r="H2047" s="59"/>
      <c r="I2047" s="58"/>
      <c r="K2047" s="60"/>
    </row>
    <row r="2048" s="37" customFormat="1" ht="12.75" spans="3:14">
      <c r="C2048" s="67"/>
      <c r="D2048" s="67"/>
      <c r="G2048" s="58"/>
      <c r="H2048" s="59"/>
      <c r="I2048" s="58"/>
      <c r="K2048" s="60"/>
    </row>
    <row r="2049" s="37" customFormat="1" ht="12.75" spans="3:11">
      <c r="C2049" s="67"/>
      <c r="D2049" s="67"/>
      <c r="G2049" s="58"/>
      <c r="H2049" s="59"/>
      <c r="I2049" s="58"/>
      <c r="K2049" s="60"/>
    </row>
    <row r="2050" s="37" customFormat="1" ht="12.75" spans="3:11">
      <c r="C2050" s="67"/>
      <c r="D2050" s="67"/>
      <c r="G2050" s="58"/>
      <c r="H2050" s="59"/>
      <c r="I2050" s="58"/>
      <c r="K2050" s="60"/>
    </row>
    <row r="2051" s="37" customFormat="1" ht="12.75" spans="3:11">
      <c r="C2051" s="67"/>
      <c r="D2051" s="67"/>
      <c r="G2051" s="58"/>
      <c r="H2051" s="59"/>
      <c r="I2051" s="58"/>
      <c r="K2051" s="60"/>
    </row>
    <row r="2052" s="37" customFormat="1" ht="12.75" spans="3:11">
      <c r="C2052" s="67"/>
      <c r="D2052" s="67"/>
      <c r="G2052" s="58"/>
      <c r="H2052" s="59"/>
      <c r="I2052" s="58"/>
      <c r="K2052" s="60"/>
    </row>
    <row r="2053" s="37" customFormat="1" ht="12.75" spans="3:11">
      <c r="C2053" s="67"/>
      <c r="D2053" s="67"/>
      <c r="G2053" s="58"/>
      <c r="H2053" s="59"/>
      <c r="I2053" s="58"/>
      <c r="K2053" s="60"/>
    </row>
    <row r="2054" s="37" customFormat="1" ht="12.75" spans="3:11">
      <c r="C2054" s="67"/>
      <c r="D2054" s="67"/>
      <c r="G2054" s="58"/>
      <c r="H2054" s="59"/>
      <c r="I2054" s="58"/>
      <c r="K2054" s="60"/>
    </row>
    <row r="2055" s="37" customFormat="1" ht="12.75" spans="3:11">
      <c r="C2055" s="67"/>
      <c r="D2055" s="67"/>
      <c r="G2055" s="58"/>
      <c r="H2055" s="59"/>
      <c r="I2055" s="58"/>
      <c r="K2055" s="60"/>
    </row>
    <row r="2056" s="37" customFormat="1" ht="12.75" spans="3:11">
      <c r="C2056" s="67"/>
      <c r="D2056" s="67"/>
      <c r="G2056" s="58"/>
      <c r="H2056" s="59"/>
      <c r="I2056" s="58"/>
      <c r="K2056" s="60"/>
    </row>
    <row r="2057" s="37" customFormat="1" ht="12.75" spans="3:11">
      <c r="C2057" s="67"/>
      <c r="D2057" s="67"/>
      <c r="G2057" s="58"/>
      <c r="H2057" s="59"/>
      <c r="I2057" s="58"/>
      <c r="K2057" s="60"/>
    </row>
    <row r="2058" s="37" customFormat="1" ht="12.75" spans="3:11">
      <c r="C2058" s="67"/>
      <c r="D2058" s="67"/>
      <c r="G2058" s="58"/>
      <c r="H2058" s="59"/>
      <c r="I2058" s="58"/>
      <c r="K2058" s="60"/>
    </row>
    <row r="2059" s="37" customFormat="1" ht="12.75" spans="3:11">
      <c r="C2059" s="67"/>
      <c r="D2059" s="67"/>
      <c r="G2059" s="58"/>
      <c r="H2059" s="59"/>
      <c r="I2059" s="58"/>
      <c r="K2059" s="60"/>
    </row>
    <row r="2060" s="37" customFormat="1" ht="12.75" spans="3:11">
      <c r="C2060" s="67"/>
      <c r="D2060" s="67"/>
      <c r="G2060" s="58"/>
      <c r="H2060" s="59"/>
      <c r="I2060" s="58"/>
      <c r="K2060" s="60"/>
    </row>
    <row r="2061" s="37" customFormat="1" ht="12.75" spans="3:11">
      <c r="C2061" s="67"/>
      <c r="D2061" s="67"/>
      <c r="G2061" s="58"/>
      <c r="H2061" s="59"/>
      <c r="I2061" s="58"/>
      <c r="K2061" s="60"/>
    </row>
    <row r="2062" s="37" customFormat="1" ht="12.75" spans="3:11">
      <c r="C2062" s="67"/>
      <c r="D2062" s="67"/>
      <c r="G2062" s="58"/>
      <c r="H2062" s="59"/>
      <c r="I2062" s="58"/>
      <c r="K2062" s="60"/>
    </row>
    <row r="2063" s="37" customFormat="1" ht="12.75" spans="3:11">
      <c r="C2063" s="67"/>
      <c r="D2063" s="67"/>
      <c r="G2063" s="58"/>
      <c r="H2063" s="59"/>
      <c r="I2063" s="58"/>
      <c r="K2063" s="60"/>
    </row>
    <row r="2064" s="37" customFormat="1" ht="12.75" spans="3:11">
      <c r="C2064" s="67"/>
      <c r="D2064" s="67"/>
      <c r="G2064" s="58"/>
      <c r="H2064" s="59"/>
      <c r="I2064" s="58"/>
      <c r="K2064" s="60"/>
    </row>
    <row r="2065" s="37" customFormat="1" ht="12.75" spans="3:11">
      <c r="C2065" s="67"/>
      <c r="D2065" s="67"/>
      <c r="G2065" s="58"/>
      <c r="H2065" s="59"/>
      <c r="I2065" s="58"/>
      <c r="K2065" s="60"/>
    </row>
    <row r="2066" s="37" customFormat="1" ht="12.75" spans="3:11">
      <c r="C2066" s="67"/>
      <c r="D2066" s="67"/>
      <c r="G2066" s="58"/>
      <c r="H2066" s="59"/>
      <c r="I2066" s="58"/>
      <c r="K2066" s="60"/>
    </row>
    <row r="2067" s="37" customFormat="1" ht="12.75" spans="3:11">
      <c r="C2067" s="67"/>
      <c r="D2067" s="67"/>
      <c r="G2067" s="58"/>
      <c r="H2067" s="59"/>
      <c r="I2067" s="58"/>
      <c r="K2067" s="60"/>
    </row>
    <row r="2068" s="37" customFormat="1" ht="12.75" spans="3:11">
      <c r="C2068" s="67"/>
      <c r="D2068" s="67"/>
      <c r="G2068" s="58"/>
      <c r="H2068" s="59"/>
      <c r="I2068" s="58"/>
      <c r="K2068" s="60"/>
    </row>
    <row r="2069" s="37" customFormat="1" ht="12.75" spans="3:11">
      <c r="C2069" s="67"/>
      <c r="D2069" s="67"/>
      <c r="G2069" s="58"/>
      <c r="H2069" s="59"/>
      <c r="I2069" s="58"/>
      <c r="K2069" s="60"/>
    </row>
    <row r="2070" s="37" customFormat="1" ht="12.75" spans="3:11">
      <c r="C2070" s="67"/>
      <c r="D2070" s="67"/>
      <c r="G2070" s="58"/>
      <c r="H2070" s="59"/>
      <c r="I2070" s="58"/>
      <c r="K2070" s="60"/>
    </row>
    <row r="2071" s="37" customFormat="1" ht="12.75" spans="3:11">
      <c r="C2071" s="67"/>
      <c r="D2071" s="67"/>
      <c r="G2071" s="58"/>
      <c r="H2071" s="59"/>
      <c r="I2071" s="58"/>
      <c r="K2071" s="60"/>
    </row>
    <row r="2072" s="37" customFormat="1" ht="12.75" spans="3:11">
      <c r="C2072" s="67"/>
      <c r="D2072" s="67"/>
      <c r="G2072" s="58"/>
      <c r="H2072" s="59"/>
      <c r="I2072" s="58"/>
      <c r="K2072" s="60"/>
    </row>
    <row r="2073" s="37" customFormat="1" ht="12.75" spans="3:11">
      <c r="C2073" s="67"/>
      <c r="D2073" s="67"/>
      <c r="G2073" s="58"/>
      <c r="H2073" s="59"/>
      <c r="I2073" s="58"/>
      <c r="K2073" s="60"/>
    </row>
    <row r="2074" s="37" customFormat="1" ht="12.75" spans="3:11">
      <c r="C2074" s="67"/>
      <c r="D2074" s="67"/>
      <c r="G2074" s="58"/>
      <c r="H2074" s="59"/>
      <c r="I2074" s="58"/>
      <c r="K2074" s="60"/>
    </row>
    <row r="2075" s="37" customFormat="1" ht="12.75" spans="3:11">
      <c r="C2075" s="67"/>
      <c r="D2075" s="67"/>
      <c r="G2075" s="58"/>
      <c r="H2075" s="59"/>
      <c r="I2075" s="58"/>
      <c r="K2075" s="60"/>
    </row>
    <row r="2076" s="37" customFormat="1" ht="12.75" spans="3:11">
      <c r="C2076" s="67"/>
      <c r="D2076" s="67"/>
      <c r="G2076" s="58"/>
      <c r="H2076" s="59"/>
      <c r="I2076" s="58"/>
      <c r="K2076" s="60"/>
    </row>
    <row r="2077" s="37" customFormat="1" ht="12.75" spans="3:11">
      <c r="C2077" s="67"/>
      <c r="D2077" s="67"/>
      <c r="G2077" s="58"/>
      <c r="H2077" s="59"/>
      <c r="I2077" s="58"/>
      <c r="K2077" s="60"/>
    </row>
    <row r="2078" s="37" customFormat="1" ht="12.75" spans="3:11">
      <c r="C2078" s="67"/>
      <c r="D2078" s="67"/>
      <c r="G2078" s="58"/>
      <c r="H2078" s="59"/>
      <c r="I2078" s="58"/>
      <c r="K2078" s="60"/>
    </row>
    <row r="2079" s="37" customFormat="1" ht="12.75" spans="3:11">
      <c r="C2079" s="67"/>
      <c r="D2079" s="67"/>
      <c r="G2079" s="58"/>
      <c r="H2079" s="59"/>
      <c r="I2079" s="58"/>
      <c r="K2079" s="60"/>
    </row>
    <row r="2080" s="37" customFormat="1" ht="12.75" spans="3:11">
      <c r="C2080" s="67"/>
      <c r="D2080" s="67"/>
      <c r="G2080" s="58"/>
      <c r="H2080" s="59"/>
      <c r="I2080" s="58"/>
      <c r="K2080" s="60"/>
    </row>
    <row r="2081" s="37" customFormat="1" ht="12.75" spans="3:11">
      <c r="C2081" s="67"/>
      <c r="D2081" s="67"/>
      <c r="G2081" s="58"/>
      <c r="H2081" s="59"/>
      <c r="I2081" s="58"/>
      <c r="K2081" s="60"/>
    </row>
    <row r="2082" s="37" customFormat="1" ht="12.75" spans="3:11">
      <c r="C2082" s="67"/>
      <c r="D2082" s="67"/>
      <c r="G2082" s="58"/>
      <c r="H2082" s="59"/>
      <c r="I2082" s="58"/>
      <c r="K2082" s="60"/>
    </row>
    <row r="2083" s="37" customFormat="1" ht="12.75" spans="3:11">
      <c r="C2083" s="67"/>
      <c r="D2083" s="67"/>
      <c r="G2083" s="58"/>
      <c r="H2083" s="59"/>
      <c r="I2083" s="58"/>
      <c r="K2083" s="60"/>
    </row>
    <row r="2084" s="37" customFormat="1" ht="12.75" spans="3:11">
      <c r="C2084" s="67"/>
      <c r="D2084" s="67"/>
      <c r="G2084" s="58"/>
      <c r="H2084" s="59"/>
      <c r="I2084" s="58"/>
      <c r="K2084" s="60"/>
    </row>
    <row r="2085" s="37" customFormat="1" ht="12.75" spans="3:11">
      <c r="C2085" s="67"/>
      <c r="D2085" s="67"/>
      <c r="G2085" s="58"/>
      <c r="H2085" s="59"/>
      <c r="I2085" s="58"/>
      <c r="K2085" s="60"/>
    </row>
    <row r="2086" s="37" customFormat="1" ht="12.75" spans="3:11">
      <c r="C2086" s="67"/>
      <c r="D2086" s="67"/>
      <c r="G2086" s="58"/>
      <c r="H2086" s="59"/>
      <c r="I2086" s="58"/>
      <c r="K2086" s="60"/>
    </row>
    <row r="2087" s="37" customFormat="1" ht="12.75" spans="3:11">
      <c r="C2087" s="67"/>
      <c r="D2087" s="67"/>
      <c r="G2087" s="58"/>
      <c r="H2087" s="59"/>
      <c r="I2087" s="58"/>
      <c r="K2087" s="60"/>
    </row>
    <row r="2088" s="37" customFormat="1" ht="12.75" spans="3:11">
      <c r="C2088" s="67"/>
      <c r="D2088" s="67"/>
      <c r="G2088" s="58"/>
      <c r="H2088" s="59"/>
      <c r="I2088" s="58"/>
      <c r="K2088" s="60"/>
    </row>
    <row r="2089" s="37" customFormat="1" ht="12.75" spans="3:11">
      <c r="C2089" s="67"/>
      <c r="D2089" s="67"/>
      <c r="G2089" s="58"/>
      <c r="H2089" s="59"/>
      <c r="I2089" s="58"/>
      <c r="K2089" s="60"/>
    </row>
    <row r="2090" s="37" customFormat="1" ht="12.75" spans="3:11">
      <c r="C2090" s="67"/>
      <c r="D2090" s="67"/>
      <c r="G2090" s="58"/>
      <c r="H2090" s="59"/>
      <c r="I2090" s="58"/>
      <c r="K2090" s="60"/>
    </row>
    <row r="2091" s="37" customFormat="1" ht="12.75" spans="3:11">
      <c r="C2091" s="67"/>
      <c r="D2091" s="67"/>
      <c r="G2091" s="58"/>
      <c r="H2091" s="59"/>
      <c r="I2091" s="58"/>
      <c r="K2091" s="60"/>
    </row>
    <row r="2092" s="37" customFormat="1" ht="12.75" spans="3:11">
      <c r="C2092" s="67"/>
      <c r="D2092" s="67"/>
      <c r="G2092" s="58"/>
      <c r="H2092" s="59"/>
      <c r="I2092" s="58"/>
      <c r="K2092" s="60"/>
    </row>
    <row r="2093" s="37" customFormat="1" ht="12.75" spans="3:11">
      <c r="C2093" s="67"/>
      <c r="D2093" s="67"/>
      <c r="G2093" s="58"/>
      <c r="H2093" s="59"/>
      <c r="I2093" s="58"/>
      <c r="K2093" s="60"/>
    </row>
    <row r="2094" s="37" customFormat="1" ht="12.75" spans="3:11">
      <c r="C2094" s="67"/>
      <c r="D2094" s="67"/>
      <c r="G2094" s="58"/>
      <c r="H2094" s="59"/>
      <c r="I2094" s="58"/>
      <c r="K2094" s="60"/>
    </row>
    <row r="2095" s="37" customFormat="1" ht="12.75" spans="3:11">
      <c r="C2095" s="67"/>
      <c r="D2095" s="67"/>
      <c r="G2095" s="58"/>
      <c r="H2095" s="59"/>
      <c r="I2095" s="58"/>
      <c r="K2095" s="60"/>
    </row>
    <row r="2096" s="37" customFormat="1" ht="12.75" spans="3:11">
      <c r="C2096" s="67"/>
      <c r="D2096" s="67"/>
      <c r="G2096" s="58"/>
      <c r="H2096" s="59"/>
      <c r="I2096" s="58"/>
      <c r="K2096" s="60"/>
    </row>
    <row r="2097" s="37" customFormat="1" ht="12.75" spans="3:11">
      <c r="C2097" s="67"/>
      <c r="D2097" s="67"/>
      <c r="G2097" s="58"/>
      <c r="H2097" s="59"/>
      <c r="I2097" s="58"/>
      <c r="K2097" s="60"/>
    </row>
    <row r="2098" s="37" customFormat="1" ht="12.75" spans="3:11">
      <c r="C2098" s="67"/>
      <c r="D2098" s="67"/>
      <c r="G2098" s="58"/>
      <c r="H2098" s="59"/>
      <c r="I2098" s="58"/>
      <c r="K2098" s="60"/>
    </row>
    <row r="2099" s="37" customFormat="1" ht="12.75" spans="3:11">
      <c r="C2099" s="67"/>
      <c r="D2099" s="67"/>
      <c r="G2099" s="58"/>
      <c r="H2099" s="59"/>
      <c r="I2099" s="58"/>
      <c r="K2099" s="60"/>
    </row>
    <row r="2100" s="37" customFormat="1" ht="12.75" spans="3:11">
      <c r="C2100" s="67"/>
      <c r="D2100" s="67"/>
      <c r="G2100" s="58"/>
      <c r="H2100" s="59"/>
      <c r="I2100" s="58"/>
      <c r="K2100" s="60"/>
    </row>
    <row r="2101" s="37" customFormat="1" ht="12.75" spans="3:11">
      <c r="C2101" s="67"/>
      <c r="D2101" s="67"/>
      <c r="G2101" s="58"/>
      <c r="H2101" s="59"/>
      <c r="I2101" s="58"/>
      <c r="K2101" s="60"/>
    </row>
    <row r="2102" s="37" customFormat="1" ht="12.75" spans="3:11">
      <c r="C2102" s="67"/>
      <c r="D2102" s="67"/>
      <c r="G2102" s="58"/>
      <c r="H2102" s="59"/>
      <c r="I2102" s="58"/>
      <c r="K2102" s="60"/>
    </row>
    <row r="2103" s="37" customFormat="1" ht="12.75" spans="3:11">
      <c r="G2103" s="58"/>
      <c r="H2103" s="59"/>
      <c r="I2103" s="58"/>
      <c r="K2103" s="60"/>
    </row>
    <row r="2104" s="37" customFormat="1" ht="12.75" spans="3:11">
      <c r="G2104" s="58"/>
      <c r="H2104" s="59"/>
      <c r="I2104" s="58"/>
      <c r="K2104" s="60"/>
    </row>
    <row r="2105" s="37" customFormat="1" ht="12.75" spans="3:11">
      <c r="G2105" s="58"/>
      <c r="H2105" s="59"/>
      <c r="I2105" s="58"/>
      <c r="K2105" s="60"/>
    </row>
    <row r="2106" s="37" customFormat="1" ht="12.75" spans="3:11">
      <c r="G2106" s="58"/>
      <c r="H2106" s="59"/>
      <c r="I2106" s="58"/>
      <c r="K2106" s="60"/>
    </row>
    <row r="2107" s="37" customFormat="1" ht="12.75" spans="3:11">
      <c r="G2107" s="58"/>
      <c r="H2107" s="59"/>
      <c r="I2107" s="58"/>
      <c r="K2107" s="60"/>
    </row>
    <row r="2108" s="37" customFormat="1" ht="12.75" spans="3:11">
      <c r="G2108" s="58"/>
      <c r="H2108" s="59"/>
      <c r="I2108" s="58"/>
      <c r="K2108" s="60"/>
    </row>
    <row r="2109" s="37" customFormat="1" ht="12.75" spans="3:11">
      <c r="G2109" s="58"/>
      <c r="H2109" s="59"/>
      <c r="I2109" s="58"/>
      <c r="K2109" s="60"/>
    </row>
    <row r="2110" s="37" customFormat="1" ht="12.75" spans="3:11">
      <c r="G2110" s="58"/>
      <c r="H2110" s="59"/>
      <c r="I2110" s="58"/>
      <c r="K2110" s="60"/>
    </row>
    <row r="2111" s="37" customFormat="1" ht="12.75" spans="3:11">
      <c r="G2111" s="58"/>
      <c r="H2111" s="59"/>
      <c r="I2111" s="58"/>
      <c r="K2111" s="60"/>
    </row>
    <row r="2112" s="37" customFormat="1" ht="12.75" spans="3:11">
      <c r="G2112" s="58"/>
      <c r="H2112" s="59"/>
      <c r="I2112" s="58"/>
      <c r="K2112" s="60"/>
    </row>
    <row r="2113" s="37" customFormat="1" ht="12.75" spans="7:11">
      <c r="G2113" s="58"/>
      <c r="H2113" s="59"/>
      <c r="I2113" s="58"/>
      <c r="K2113" s="60"/>
    </row>
    <row r="2114" s="37" customFormat="1" ht="12.75" spans="7:11">
      <c r="G2114" s="58"/>
      <c r="H2114" s="59"/>
      <c r="I2114" s="58"/>
      <c r="K2114" s="60"/>
    </row>
    <row r="2115" s="37" customFormat="1" ht="12.75" spans="7:11">
      <c r="G2115" s="58"/>
      <c r="H2115" s="59"/>
      <c r="I2115" s="58"/>
      <c r="K2115" s="60"/>
    </row>
    <row r="2116" s="37" customFormat="1" ht="12.75" spans="7:11">
      <c r="G2116" s="58"/>
      <c r="H2116" s="59"/>
      <c r="I2116" s="58"/>
      <c r="K2116" s="60"/>
    </row>
    <row r="2117" s="37" customFormat="1" ht="12.75" spans="7:11">
      <c r="G2117" s="58"/>
      <c r="H2117" s="59"/>
      <c r="I2117" s="58"/>
      <c r="K2117" s="60"/>
    </row>
    <row r="2118" s="37" customFormat="1" ht="12.75" spans="7:11">
      <c r="G2118" s="58"/>
      <c r="H2118" s="59"/>
      <c r="I2118" s="58"/>
      <c r="K2118" s="60"/>
    </row>
    <row r="2119" s="37" customFormat="1" ht="12.75" spans="7:11">
      <c r="G2119" s="58"/>
      <c r="H2119" s="59"/>
      <c r="I2119" s="58"/>
      <c r="K2119" s="60"/>
    </row>
    <row r="2120" s="37" customFormat="1" ht="12.75" spans="7:11">
      <c r="G2120" s="58"/>
      <c r="H2120" s="59"/>
      <c r="I2120" s="58"/>
      <c r="K2120" s="60"/>
    </row>
    <row r="2121" s="37" customFormat="1" ht="12.75" spans="7:11">
      <c r="G2121" s="58"/>
      <c r="H2121" s="59"/>
      <c r="I2121" s="58"/>
      <c r="K2121" s="60"/>
    </row>
    <row r="2122" s="37" customFormat="1" ht="12.75" spans="7:11">
      <c r="G2122" s="58"/>
      <c r="H2122" s="59"/>
      <c r="I2122" s="58"/>
      <c r="K2122" s="60"/>
    </row>
    <row r="2123" s="37" customFormat="1" ht="12.75" spans="7:11">
      <c r="G2123" s="58"/>
      <c r="H2123" s="59"/>
      <c r="I2123" s="58"/>
      <c r="K2123" s="60"/>
    </row>
    <row r="2124" s="37" customFormat="1" ht="12.75" spans="7:11">
      <c r="G2124" s="58"/>
      <c r="H2124" s="59"/>
      <c r="I2124" s="58"/>
      <c r="K2124" s="60"/>
    </row>
    <row r="2125" s="37" customFormat="1" ht="12.75" spans="7:11">
      <c r="G2125" s="58"/>
      <c r="H2125" s="59"/>
      <c r="I2125" s="58"/>
      <c r="K2125" s="60"/>
    </row>
    <row r="2126" s="37" customFormat="1" ht="12.75" spans="7:11">
      <c r="G2126" s="58"/>
      <c r="H2126" s="59"/>
      <c r="I2126" s="58"/>
      <c r="K2126" s="60"/>
    </row>
    <row r="2127" s="37" customFormat="1" ht="12.75" spans="7:11">
      <c r="G2127" s="58"/>
      <c r="H2127" s="59"/>
      <c r="I2127" s="58"/>
      <c r="K2127" s="60"/>
    </row>
    <row r="2128" s="37" customFormat="1" ht="12.75" spans="7:11">
      <c r="G2128" s="58"/>
      <c r="H2128" s="59"/>
      <c r="I2128" s="58"/>
      <c r="K2128" s="60"/>
    </row>
    <row r="2129" s="37" customFormat="1" ht="12.75" spans="7:11">
      <c r="G2129" s="58"/>
      <c r="H2129" s="59"/>
      <c r="I2129" s="58"/>
      <c r="K2129" s="60"/>
    </row>
    <row r="2130" s="37" customFormat="1" ht="12.75" spans="7:11">
      <c r="G2130" s="58"/>
      <c r="H2130" s="59"/>
      <c r="I2130" s="58"/>
      <c r="K2130" s="60"/>
    </row>
    <row r="2131" s="37" customFormat="1" ht="12.75" spans="7:11">
      <c r="G2131" s="58"/>
      <c r="H2131" s="59"/>
      <c r="I2131" s="58"/>
      <c r="K2131" s="60"/>
    </row>
    <row r="2132" s="37" customFormat="1" ht="12.75" spans="7:11">
      <c r="G2132" s="58"/>
      <c r="H2132" s="59"/>
      <c r="I2132" s="58"/>
      <c r="K2132" s="60"/>
    </row>
    <row r="2133" s="37" customFormat="1" ht="12.75" spans="7:11">
      <c r="G2133" s="58"/>
      <c r="H2133" s="59"/>
      <c r="I2133" s="58"/>
      <c r="K2133" s="60"/>
    </row>
    <row r="2134" s="37" customFormat="1" ht="12.75" spans="7:11">
      <c r="G2134" s="58"/>
      <c r="H2134" s="59"/>
      <c r="I2134" s="58"/>
      <c r="K2134" s="60"/>
    </row>
    <row r="2135" s="37" customFormat="1" ht="12.75" spans="7:11">
      <c r="G2135" s="58"/>
      <c r="H2135" s="59"/>
      <c r="I2135" s="58"/>
      <c r="K2135" s="60"/>
    </row>
    <row r="2136" s="37" customFormat="1" ht="12.75" spans="7:11">
      <c r="G2136" s="58"/>
      <c r="H2136" s="59"/>
      <c r="I2136" s="58"/>
      <c r="K2136" s="60"/>
    </row>
    <row r="2137" s="37" customFormat="1" ht="12.75" spans="7:11">
      <c r="G2137" s="58"/>
      <c r="H2137" s="59"/>
      <c r="I2137" s="58"/>
      <c r="K2137" s="60"/>
    </row>
    <row r="2138" s="37" customFormat="1" ht="12.75" spans="7:11">
      <c r="G2138" s="58"/>
      <c r="H2138" s="59"/>
      <c r="I2138" s="58"/>
      <c r="K2138" s="60"/>
    </row>
    <row r="2139" s="37" customFormat="1" ht="12.75" spans="7:11">
      <c r="G2139" s="58"/>
      <c r="H2139" s="59"/>
      <c r="I2139" s="58"/>
      <c r="K2139" s="60"/>
    </row>
    <row r="2140" s="37" customFormat="1" ht="12.75" spans="7:11">
      <c r="G2140" s="58"/>
      <c r="H2140" s="59"/>
      <c r="I2140" s="58"/>
      <c r="K2140" s="60"/>
    </row>
    <row r="2141" s="37" customFormat="1" ht="12.75" spans="7:11">
      <c r="G2141" s="58"/>
      <c r="H2141" s="59"/>
      <c r="I2141" s="58"/>
      <c r="K2141" s="60"/>
    </row>
    <row r="2142" s="37" customFormat="1" ht="12.75" spans="7:11">
      <c r="G2142" s="58"/>
      <c r="H2142" s="59"/>
      <c r="I2142" s="58"/>
      <c r="K2142" s="60"/>
    </row>
    <row r="2143" s="37" customFormat="1" ht="12.75" spans="7:11">
      <c r="G2143" s="58"/>
      <c r="H2143" s="59"/>
      <c r="I2143" s="58"/>
      <c r="K2143" s="60"/>
    </row>
    <row r="2144" s="37" customFormat="1" ht="12.75" spans="7:11">
      <c r="G2144" s="58"/>
      <c r="H2144" s="59"/>
      <c r="I2144" s="58"/>
      <c r="K2144" s="60"/>
    </row>
    <row r="2145" s="37" customFormat="1" ht="12.75" spans="7:11">
      <c r="G2145" s="58"/>
      <c r="H2145" s="59"/>
      <c r="I2145" s="58"/>
      <c r="K2145" s="60"/>
    </row>
    <row r="2146" s="37" customFormat="1" ht="12.75" spans="7:11">
      <c r="G2146" s="58"/>
      <c r="H2146" s="59"/>
      <c r="I2146" s="58"/>
      <c r="K2146" s="60"/>
    </row>
    <row r="2147" s="37" customFormat="1" ht="12.75" spans="7:11">
      <c r="G2147" s="58"/>
      <c r="H2147" s="59"/>
      <c r="I2147" s="58"/>
      <c r="K2147" s="60"/>
    </row>
    <row r="2148" s="37" customFormat="1" ht="12.75" spans="7:11">
      <c r="G2148" s="58"/>
      <c r="H2148" s="59"/>
      <c r="I2148" s="58"/>
      <c r="K2148" s="60"/>
    </row>
    <row r="2149" s="37" customFormat="1" ht="12.75" spans="7:11">
      <c r="G2149" s="58"/>
      <c r="H2149" s="59"/>
      <c r="I2149" s="58"/>
      <c r="K2149" s="60"/>
    </row>
    <row r="2150" s="37" customFormat="1" ht="12.75" spans="7:11">
      <c r="G2150" s="58"/>
      <c r="H2150" s="59"/>
      <c r="I2150" s="58"/>
      <c r="K2150" s="60"/>
    </row>
    <row r="2151" s="37" customFormat="1" ht="12.75" spans="7:11">
      <c r="G2151" s="58"/>
      <c r="H2151" s="59"/>
      <c r="I2151" s="58"/>
      <c r="K2151" s="60"/>
    </row>
    <row r="2152" s="37" customFormat="1" ht="12.75" spans="7:11">
      <c r="G2152" s="58"/>
      <c r="H2152" s="59"/>
      <c r="I2152" s="58"/>
      <c r="K2152" s="60"/>
    </row>
    <row r="2153" s="37" customFormat="1" ht="12.75" spans="7:11">
      <c r="G2153" s="58"/>
      <c r="H2153" s="59"/>
      <c r="I2153" s="58"/>
      <c r="K2153" s="60"/>
    </row>
    <row r="2154" s="37" customFormat="1" ht="12.75" spans="7:11">
      <c r="G2154" s="58"/>
      <c r="H2154" s="59"/>
      <c r="I2154" s="58"/>
      <c r="K2154" s="60"/>
    </row>
    <row r="2155" s="37" customFormat="1" ht="12.75" spans="7:11">
      <c r="G2155" s="58"/>
      <c r="H2155" s="59"/>
      <c r="I2155" s="58"/>
      <c r="K2155" s="60"/>
    </row>
    <row r="2156" s="37" customFormat="1" ht="12.75" spans="7:11">
      <c r="G2156" s="58"/>
      <c r="H2156" s="59"/>
      <c r="I2156" s="58"/>
      <c r="K2156" s="60"/>
    </row>
    <row r="2157" s="37" customFormat="1" ht="12.75" spans="7:11">
      <c r="G2157" s="58"/>
      <c r="H2157" s="59"/>
      <c r="I2157" s="58"/>
      <c r="K2157" s="60"/>
    </row>
    <row r="2158" s="37" customFormat="1" ht="12.75" spans="7:11">
      <c r="G2158" s="58"/>
      <c r="H2158" s="59"/>
      <c r="I2158" s="58"/>
      <c r="K2158" s="60"/>
    </row>
    <row r="2159" s="37" customFormat="1" ht="12.75" spans="7:11">
      <c r="G2159" s="58"/>
      <c r="H2159" s="59"/>
      <c r="I2159" s="58"/>
      <c r="K2159" s="60"/>
    </row>
    <row r="2160" s="37" customFormat="1" ht="12.75" spans="7:11">
      <c r="G2160" s="58"/>
      <c r="H2160" s="59"/>
      <c r="I2160" s="58"/>
      <c r="K2160" s="60"/>
    </row>
    <row r="2161" s="37" customFormat="1" ht="12.75" spans="7:14">
      <c r="G2161" s="58"/>
      <c r="H2161" s="59"/>
      <c r="I2161" s="58"/>
      <c r="K2161" s="60"/>
    </row>
    <row r="2162" s="37" customFormat="1" ht="12.75" spans="7:14">
      <c r="G2162" s="58"/>
      <c r="H2162" s="59"/>
      <c r="I2162" s="58"/>
      <c r="K2162" s="60"/>
    </row>
    <row r="2163" s="37" customFormat="1" ht="12.75" spans="7:14">
      <c r="G2163" s="58"/>
      <c r="H2163" s="59"/>
      <c r="I2163" s="58"/>
      <c r="K2163" s="60"/>
    </row>
    <row r="2164" s="37" customFormat="1" ht="12.75" spans="7:14">
      <c r="G2164" s="58"/>
      <c r="H2164" s="59"/>
      <c r="I2164" s="58"/>
      <c r="K2164" s="60"/>
    </row>
    <row r="2165" s="37" customFormat="1" ht="12.75" spans="7:14">
      <c r="G2165" s="58"/>
      <c r="H2165" s="59"/>
      <c r="I2165" s="58"/>
      <c r="K2165" s="60"/>
    </row>
    <row r="2166" s="37" customFormat="1" ht="12.75" spans="7:14">
      <c r="G2166" s="58"/>
      <c r="H2166" s="59"/>
      <c r="I2166" s="58"/>
      <c r="K2166" s="60"/>
    </row>
    <row r="2167" s="37" customFormat="1" ht="12.75" spans="7:14">
      <c r="G2167" s="58"/>
      <c r="H2167" s="59"/>
      <c r="I2167" s="58"/>
      <c r="K2167" s="60"/>
    </row>
    <row r="2168" s="37" customFormat="1" ht="12.75" spans="7:14">
      <c r="G2168" s="58"/>
      <c r="H2168" s="59"/>
      <c r="I2168" s="58"/>
      <c r="K2168" s="60"/>
    </row>
    <row r="2169" s="37" customFormat="1" ht="12.75" spans="7:14">
      <c r="G2169" s="58"/>
      <c r="H2169" s="59"/>
      <c r="I2169" s="58"/>
      <c r="K2169" s="60"/>
      <c r="N2169" s="62"/>
    </row>
    <row r="2170" s="37" customFormat="1" ht="12.75" spans="7:14">
      <c r="G2170" s="58"/>
      <c r="H2170" s="59"/>
      <c r="I2170" s="58"/>
      <c r="K2170" s="60"/>
      <c r="N2170" s="62"/>
    </row>
    <row r="2171" s="37" customFormat="1" ht="12.75" spans="7:14">
      <c r="G2171" s="58"/>
      <c r="H2171" s="59"/>
      <c r="I2171" s="58"/>
      <c r="K2171" s="60"/>
      <c r="N2171" s="62"/>
    </row>
    <row r="2172" s="37" customFormat="1" ht="12.75" spans="7:14">
      <c r="G2172" s="58"/>
      <c r="H2172" s="59"/>
      <c r="I2172" s="58"/>
      <c r="K2172" s="60"/>
      <c r="N2172" s="62"/>
    </row>
    <row r="2173" s="37" customFormat="1" ht="12.75" spans="7:14">
      <c r="G2173" s="58"/>
      <c r="H2173" s="59"/>
      <c r="I2173" s="58"/>
      <c r="K2173" s="60"/>
      <c r="N2173" s="62"/>
    </row>
    <row r="2174" s="37" customFormat="1" ht="12.75" spans="7:14">
      <c r="G2174" s="58"/>
      <c r="H2174" s="59"/>
      <c r="I2174" s="58"/>
      <c r="K2174" s="60"/>
      <c r="N2174" s="62"/>
    </row>
    <row r="2175" s="37" customFormat="1" ht="12.75" spans="7:14">
      <c r="G2175" s="58"/>
      <c r="H2175" s="59"/>
      <c r="I2175" s="58"/>
      <c r="K2175" s="60"/>
      <c r="N2175" s="62"/>
    </row>
    <row r="2176" s="37" customFormat="1" ht="12.75" spans="7:14">
      <c r="G2176" s="58"/>
      <c r="H2176" s="59"/>
      <c r="I2176" s="58"/>
      <c r="K2176" s="60"/>
      <c r="N2176" s="62"/>
    </row>
    <row r="2177" s="37" customFormat="1" ht="12.75" spans="7:14">
      <c r="G2177" s="58"/>
      <c r="H2177" s="59"/>
      <c r="I2177" s="58"/>
      <c r="K2177" s="60"/>
      <c r="N2177" s="62"/>
    </row>
    <row r="2178" s="37" customFormat="1" ht="12.75" spans="7:14">
      <c r="G2178" s="58"/>
      <c r="H2178" s="59"/>
      <c r="I2178" s="58"/>
      <c r="K2178" s="60"/>
      <c r="N2178" s="62"/>
    </row>
    <row r="2179" s="37" customFormat="1" ht="12.75" spans="7:14">
      <c r="G2179" s="58"/>
      <c r="H2179" s="59"/>
      <c r="I2179" s="58"/>
      <c r="K2179" s="60"/>
      <c r="N2179" s="62"/>
    </row>
    <row r="2180" s="37" customFormat="1" ht="12.75" spans="7:14">
      <c r="G2180" s="58"/>
      <c r="H2180" s="59"/>
      <c r="I2180" s="58"/>
      <c r="K2180" s="60"/>
    </row>
    <row r="2181" s="37" customFormat="1" ht="12.75" spans="7:14">
      <c r="G2181" s="58"/>
      <c r="H2181" s="59"/>
      <c r="I2181" s="58"/>
      <c r="K2181" s="60"/>
    </row>
    <row r="2182" s="37" customFormat="1" ht="12.75" spans="7:14">
      <c r="G2182" s="58"/>
      <c r="H2182" s="59"/>
      <c r="I2182" s="58"/>
      <c r="K2182" s="60"/>
    </row>
    <row r="2183" s="37" customFormat="1" ht="12.75" spans="7:14">
      <c r="G2183" s="58"/>
      <c r="H2183" s="59"/>
      <c r="I2183" s="58"/>
      <c r="K2183" s="60"/>
    </row>
    <row r="2184" s="37" customFormat="1" ht="12.75" spans="7:14">
      <c r="G2184" s="58"/>
      <c r="H2184" s="59"/>
      <c r="I2184" s="58"/>
      <c r="K2184" s="60"/>
    </row>
    <row r="2185" s="37" customFormat="1" ht="12.75" spans="7:14">
      <c r="G2185" s="58"/>
      <c r="H2185" s="59"/>
      <c r="I2185" s="58"/>
      <c r="K2185" s="60"/>
    </row>
    <row r="2186" s="37" customFormat="1" ht="12.75" spans="7:14">
      <c r="G2186" s="58"/>
      <c r="H2186" s="59"/>
      <c r="I2186" s="58"/>
      <c r="K2186" s="60"/>
    </row>
    <row r="2187" s="37" customFormat="1" ht="12.75" spans="7:14">
      <c r="G2187" s="58"/>
      <c r="H2187" s="59"/>
      <c r="I2187" s="58"/>
      <c r="K2187" s="60"/>
    </row>
    <row r="2188" s="37" customFormat="1" ht="12.75" spans="7:14">
      <c r="G2188" s="58"/>
      <c r="H2188" s="59"/>
      <c r="I2188" s="58"/>
      <c r="K2188" s="60"/>
    </row>
    <row r="2189" s="37" customFormat="1" ht="12.75" spans="7:14">
      <c r="G2189" s="58"/>
      <c r="H2189" s="59"/>
      <c r="I2189" s="58"/>
      <c r="K2189" s="60"/>
    </row>
    <row r="2190" s="37" customFormat="1" ht="12.75" spans="7:14">
      <c r="G2190" s="58"/>
      <c r="H2190" s="59"/>
      <c r="I2190" s="58"/>
      <c r="K2190" s="60"/>
    </row>
    <row r="2191" s="37" customFormat="1" ht="12.75" spans="7:14">
      <c r="G2191" s="58"/>
      <c r="H2191" s="59"/>
      <c r="I2191" s="58"/>
      <c r="K2191" s="60"/>
    </row>
    <row r="2192" s="37" customFormat="1" ht="12.75" spans="7:14">
      <c r="G2192" s="58"/>
      <c r="H2192" s="59"/>
      <c r="I2192" s="58"/>
      <c r="K2192" s="60"/>
    </row>
    <row r="2193" s="37" customFormat="1" ht="12.75" spans="7:11">
      <c r="G2193" s="58"/>
      <c r="H2193" s="59"/>
      <c r="I2193" s="58"/>
      <c r="K2193" s="60"/>
    </row>
    <row r="2194" s="37" customFormat="1" ht="12.75" spans="7:11">
      <c r="G2194" s="58"/>
      <c r="H2194" s="59"/>
      <c r="I2194" s="58"/>
      <c r="K2194" s="60"/>
    </row>
    <row r="2195" s="37" customFormat="1" ht="12.75" spans="7:11">
      <c r="G2195" s="58"/>
      <c r="H2195" s="59"/>
      <c r="I2195" s="58"/>
      <c r="K2195" s="60"/>
    </row>
    <row r="2196" s="37" customFormat="1" ht="12.75" spans="7:11">
      <c r="G2196" s="58"/>
      <c r="H2196" s="59"/>
      <c r="I2196" s="58"/>
      <c r="K2196" s="60"/>
    </row>
    <row r="2197" s="37" customFormat="1" ht="12.75" spans="7:11">
      <c r="G2197" s="58"/>
      <c r="H2197" s="59"/>
      <c r="I2197" s="58"/>
      <c r="K2197" s="60"/>
    </row>
    <row r="2198" s="37" customFormat="1" ht="12.75" spans="7:11">
      <c r="G2198" s="58"/>
      <c r="H2198" s="59"/>
      <c r="I2198" s="58"/>
      <c r="K2198" s="60"/>
    </row>
    <row r="2199" s="37" customFormat="1" ht="12.75" spans="7:11">
      <c r="G2199" s="58"/>
      <c r="H2199" s="59"/>
      <c r="I2199" s="58"/>
      <c r="K2199" s="60"/>
    </row>
    <row r="2200" s="37" customFormat="1" ht="12.75" spans="7:11">
      <c r="G2200" s="58"/>
      <c r="H2200" s="59"/>
      <c r="I2200" s="58"/>
      <c r="K2200" s="60"/>
    </row>
    <row r="2201" s="37" customFormat="1" ht="12.75" spans="7:11">
      <c r="G2201" s="58"/>
      <c r="H2201" s="59"/>
      <c r="I2201" s="58"/>
      <c r="K2201" s="60"/>
    </row>
    <row r="2202" s="37" customFormat="1" ht="12.75" spans="7:11">
      <c r="G2202" s="58"/>
      <c r="H2202" s="59"/>
      <c r="I2202" s="58"/>
      <c r="K2202" s="60"/>
    </row>
    <row r="2203" s="37" customFormat="1" ht="12.75" spans="7:11">
      <c r="G2203" s="58"/>
      <c r="H2203" s="59"/>
      <c r="I2203" s="58"/>
      <c r="K2203" s="60"/>
    </row>
    <row r="2204" s="37" customFormat="1" ht="12.75" spans="7:11">
      <c r="G2204" s="58"/>
      <c r="H2204" s="59"/>
      <c r="I2204" s="58"/>
      <c r="K2204" s="60"/>
    </row>
    <row r="2205" s="37" customFormat="1" ht="12.75" spans="7:11">
      <c r="G2205" s="58"/>
      <c r="H2205" s="59"/>
      <c r="I2205" s="58"/>
      <c r="K2205" s="60"/>
    </row>
    <row r="2206" s="37" customFormat="1" ht="12.75" spans="7:11">
      <c r="G2206" s="58"/>
      <c r="H2206" s="59"/>
      <c r="I2206" s="58"/>
      <c r="K2206" s="60"/>
    </row>
    <row r="2207" s="37" customFormat="1" ht="12.75" spans="7:11">
      <c r="G2207" s="58"/>
      <c r="H2207" s="59"/>
      <c r="I2207" s="58"/>
      <c r="K2207" s="60"/>
    </row>
    <row r="2208" s="37" customFormat="1" ht="12.75" spans="7:11">
      <c r="G2208" s="58"/>
      <c r="H2208" s="59"/>
      <c r="I2208" s="58"/>
      <c r="K2208" s="60"/>
    </row>
    <row r="2209" s="37" customFormat="1" ht="12.75" spans="7:11">
      <c r="G2209" s="58"/>
      <c r="H2209" s="59"/>
      <c r="I2209" s="58"/>
      <c r="K2209" s="60"/>
    </row>
    <row r="2210" s="37" customFormat="1" ht="12.75" spans="7:11">
      <c r="G2210" s="58"/>
      <c r="H2210" s="59"/>
      <c r="I2210" s="58"/>
      <c r="K2210" s="60"/>
    </row>
    <row r="2211" s="37" customFormat="1" ht="12.75" spans="7:11">
      <c r="G2211" s="58"/>
      <c r="H2211" s="59"/>
      <c r="I2211" s="58"/>
      <c r="K2211" s="60"/>
    </row>
    <row r="2212" s="37" customFormat="1" ht="12.75" spans="7:11">
      <c r="G2212" s="58"/>
      <c r="H2212" s="59"/>
      <c r="I2212" s="58"/>
      <c r="K2212" s="60"/>
    </row>
    <row r="2213" s="37" customFormat="1" ht="12.75" spans="7:11">
      <c r="G2213" s="58"/>
      <c r="H2213" s="59"/>
      <c r="I2213" s="58"/>
      <c r="K2213" s="60"/>
    </row>
    <row r="2214" s="37" customFormat="1" ht="12.75" spans="7:11">
      <c r="G2214" s="58"/>
      <c r="H2214" s="59"/>
      <c r="I2214" s="58"/>
      <c r="K2214" s="60"/>
    </row>
    <row r="2215" s="37" customFormat="1" ht="12.75" spans="7:11">
      <c r="G2215" s="58"/>
      <c r="H2215" s="59"/>
      <c r="I2215" s="58"/>
      <c r="K2215" s="60"/>
    </row>
    <row r="2216" s="37" customFormat="1" ht="12.75" spans="7:11">
      <c r="G2216" s="58"/>
      <c r="H2216" s="59"/>
      <c r="I2216" s="58"/>
      <c r="K2216" s="60"/>
    </row>
    <row r="2217" s="37" customFormat="1" ht="12.75" spans="7:11">
      <c r="G2217" s="58"/>
      <c r="H2217" s="59"/>
      <c r="I2217" s="58"/>
      <c r="K2217" s="60"/>
    </row>
    <row r="2218" s="37" customFormat="1" ht="12.75" spans="7:11">
      <c r="G2218" s="58"/>
      <c r="H2218" s="59"/>
      <c r="I2218" s="58"/>
      <c r="K2218" s="60"/>
    </row>
    <row r="2219" s="37" customFormat="1" ht="12.75" spans="7:11">
      <c r="G2219" s="58"/>
      <c r="H2219" s="59"/>
      <c r="I2219" s="58"/>
      <c r="K2219" s="60"/>
    </row>
    <row r="2220" s="37" customFormat="1" ht="12.75" spans="7:11">
      <c r="G2220" s="58"/>
      <c r="H2220" s="59"/>
      <c r="I2220" s="58"/>
      <c r="K2220" s="60"/>
    </row>
    <row r="2221" s="37" customFormat="1" ht="12.75" spans="7:11">
      <c r="G2221" s="58"/>
      <c r="H2221" s="59"/>
      <c r="I2221" s="58"/>
      <c r="K2221" s="60"/>
    </row>
    <row r="2222" s="37" customFormat="1" ht="12.75" spans="7:11">
      <c r="G2222" s="58"/>
      <c r="H2222" s="59"/>
      <c r="I2222" s="58"/>
      <c r="K2222" s="60"/>
    </row>
    <row r="2223" s="37" customFormat="1" ht="12.75" spans="7:11">
      <c r="G2223" s="58"/>
      <c r="H2223" s="59"/>
      <c r="I2223" s="58"/>
      <c r="K2223" s="60"/>
    </row>
    <row r="2224" s="37" customFormat="1" ht="12.75" spans="7:11">
      <c r="G2224" s="58"/>
      <c r="H2224" s="59"/>
      <c r="I2224" s="58"/>
      <c r="K2224" s="60"/>
    </row>
    <row r="2225" s="37" customFormat="1" ht="12.75" spans="7:11">
      <c r="G2225" s="58"/>
      <c r="H2225" s="59"/>
      <c r="I2225" s="58"/>
      <c r="K2225" s="60"/>
    </row>
    <row r="2226" s="37" customFormat="1" ht="12.75" spans="7:11">
      <c r="G2226" s="58"/>
      <c r="H2226" s="59"/>
      <c r="I2226" s="58"/>
      <c r="K2226" s="60"/>
    </row>
    <row r="2227" s="37" customFormat="1" ht="12.75" spans="7:11">
      <c r="G2227" s="58"/>
      <c r="H2227" s="59"/>
      <c r="I2227" s="58"/>
      <c r="K2227" s="60"/>
    </row>
    <row r="2228" s="37" customFormat="1" ht="12.75" spans="7:11">
      <c r="G2228" s="58"/>
      <c r="H2228" s="59"/>
      <c r="I2228" s="58"/>
      <c r="K2228" s="60"/>
    </row>
    <row r="2229" s="37" customFormat="1" ht="12.75" spans="7:11">
      <c r="G2229" s="58"/>
      <c r="H2229" s="59"/>
      <c r="I2229" s="58"/>
      <c r="K2229" s="60"/>
    </row>
    <row r="2230" s="37" customFormat="1" ht="12.75" spans="7:11">
      <c r="G2230" s="58"/>
      <c r="H2230" s="59"/>
      <c r="I2230" s="58"/>
      <c r="K2230" s="60"/>
    </row>
    <row r="2231" s="37" customFormat="1" ht="12.75" spans="7:11">
      <c r="G2231" s="58"/>
      <c r="H2231" s="59"/>
      <c r="I2231" s="58"/>
      <c r="K2231" s="60"/>
    </row>
    <row r="2232" s="37" customFormat="1" ht="12.75" spans="7:11">
      <c r="G2232" s="58"/>
      <c r="H2232" s="59"/>
      <c r="I2232" s="58"/>
      <c r="K2232" s="60"/>
    </row>
    <row r="2233" s="37" customFormat="1" ht="12.75" spans="7:11">
      <c r="G2233" s="58"/>
      <c r="H2233" s="59"/>
      <c r="I2233" s="58"/>
      <c r="K2233" s="60"/>
    </row>
    <row r="2234" s="37" customFormat="1" ht="12.75" spans="7:11">
      <c r="G2234" s="58"/>
      <c r="H2234" s="59"/>
      <c r="I2234" s="58"/>
      <c r="K2234" s="60"/>
    </row>
    <row r="2235" s="37" customFormat="1" ht="12.75" spans="7:11">
      <c r="G2235" s="58"/>
      <c r="H2235" s="59"/>
      <c r="I2235" s="58"/>
      <c r="K2235" s="60"/>
    </row>
    <row r="2236" s="37" customFormat="1" ht="12.75" spans="7:11">
      <c r="G2236" s="58"/>
      <c r="H2236" s="59"/>
      <c r="I2236" s="58"/>
      <c r="K2236" s="60"/>
    </row>
    <row r="2237" s="37" customFormat="1" ht="12.75" spans="7:11">
      <c r="G2237" s="58"/>
      <c r="H2237" s="59"/>
      <c r="I2237" s="58"/>
      <c r="K2237" s="60"/>
    </row>
    <row r="2238" s="37" customFormat="1" ht="12.75" spans="7:11">
      <c r="G2238" s="58"/>
      <c r="H2238" s="59"/>
      <c r="I2238" s="58"/>
      <c r="K2238" s="60"/>
    </row>
    <row r="2239" s="37" customFormat="1" ht="12.75" spans="7:11">
      <c r="G2239" s="58"/>
      <c r="H2239" s="59"/>
      <c r="I2239" s="58"/>
      <c r="K2239" s="60"/>
    </row>
    <row r="2240" s="37" customFormat="1" ht="12.75" spans="7:11">
      <c r="G2240" s="58"/>
      <c r="H2240" s="59"/>
      <c r="I2240" s="58"/>
      <c r="K2240" s="60"/>
    </row>
    <row r="2241" s="37" customFormat="1" ht="12.75" spans="3:11">
      <c r="G2241" s="58"/>
      <c r="H2241" s="59"/>
      <c r="I2241" s="58"/>
      <c r="K2241" s="60"/>
    </row>
    <row r="2242" s="37" customFormat="1" ht="12.75" spans="3:11">
      <c r="G2242" s="58"/>
      <c r="H2242" s="59"/>
      <c r="I2242" s="58"/>
      <c r="K2242" s="60"/>
    </row>
    <row r="2243" s="37" customFormat="1" ht="12.75" spans="3:11">
      <c r="G2243" s="58"/>
      <c r="H2243" s="59"/>
      <c r="I2243" s="58"/>
      <c r="K2243" s="60"/>
    </row>
    <row r="2244" s="37" customFormat="1" ht="12.75" spans="3:11">
      <c r="G2244" s="58"/>
      <c r="H2244" s="59"/>
      <c r="I2244" s="58"/>
      <c r="K2244" s="60"/>
    </row>
    <row r="2245" s="37" customFormat="1" ht="12.75" spans="3:11">
      <c r="G2245" s="58"/>
      <c r="H2245" s="59"/>
      <c r="I2245" s="58"/>
      <c r="K2245" s="60"/>
    </row>
    <row r="2246" s="37" customFormat="1" ht="12.75" spans="3:11">
      <c r="G2246" s="58"/>
      <c r="H2246" s="59"/>
      <c r="I2246" s="58"/>
      <c r="K2246" s="60"/>
    </row>
    <row r="2247" s="37" customFormat="1" ht="12.75" spans="3:11">
      <c r="G2247" s="58"/>
      <c r="H2247" s="59"/>
      <c r="I2247" s="58"/>
      <c r="K2247" s="60"/>
    </row>
    <row r="2248" s="37" customFormat="1" ht="12.75" spans="3:11">
      <c r="G2248" s="58"/>
      <c r="H2248" s="59"/>
      <c r="I2248" s="58"/>
      <c r="K2248" s="60"/>
    </row>
    <row r="2249" s="37" customFormat="1" ht="12.75" spans="3:11">
      <c r="G2249" s="58"/>
      <c r="H2249" s="59"/>
      <c r="I2249" s="58"/>
      <c r="K2249" s="60"/>
    </row>
    <row r="2250" s="37" customFormat="1" ht="12.75" spans="3:11">
      <c r="G2250" s="58"/>
      <c r="H2250" s="59"/>
      <c r="I2250" s="58"/>
      <c r="K2250" s="60"/>
    </row>
    <row r="2251" s="37" customFormat="1" ht="12.75" spans="3:11">
      <c r="G2251" s="58"/>
      <c r="H2251" s="59"/>
      <c r="I2251" s="58"/>
      <c r="J2251" s="60"/>
      <c r="K2251" s="79"/>
    </row>
    <row r="2252" s="37" customFormat="1" ht="12.75" spans="3:11">
      <c r="G2252" s="58"/>
      <c r="H2252" s="59"/>
      <c r="I2252" s="58"/>
      <c r="J2252" s="60"/>
      <c r="K2252" s="79"/>
    </row>
    <row r="2253" s="37" customFormat="1" ht="12.75" spans="3:11">
      <c r="G2253" s="58"/>
      <c r="H2253" s="59"/>
      <c r="I2253" s="58"/>
      <c r="J2253" s="60"/>
      <c r="K2253" s="79"/>
    </row>
    <row r="2254" s="37" customFormat="1" ht="12.75" spans="3:11">
      <c r="C2254" s="64"/>
      <c r="D2254" s="64"/>
      <c r="G2254" s="58"/>
      <c r="H2254" s="59"/>
      <c r="I2254" s="58"/>
      <c r="K2254" s="60"/>
    </row>
    <row r="2255" s="37" customFormat="1" ht="12.75" spans="3:11">
      <c r="C2255" s="64"/>
      <c r="D2255" s="64"/>
      <c r="G2255" s="58"/>
      <c r="H2255" s="59"/>
      <c r="I2255" s="58"/>
      <c r="K2255" s="60"/>
    </row>
    <row r="2256" s="37" customFormat="1" ht="12.75" spans="3:11">
      <c r="C2256" s="64"/>
      <c r="D2256" s="64"/>
      <c r="G2256" s="58"/>
      <c r="H2256" s="59"/>
      <c r="I2256" s="58"/>
      <c r="K2256" s="60"/>
    </row>
    <row r="2257" s="37" customFormat="1" ht="12.75" spans="1:14">
      <c r="C2257" s="64"/>
      <c r="D2257" s="64"/>
      <c r="G2257" s="58"/>
      <c r="H2257" s="59"/>
      <c r="I2257" s="58"/>
      <c r="K2257" s="60"/>
    </row>
    <row r="2258" s="37" customFormat="1" ht="12.75" spans="1:14">
      <c r="A2258" s="54"/>
      <c r="B2258" s="54"/>
      <c r="C2258" s="65"/>
      <c r="D2258" s="65"/>
      <c r="E2258" s="54"/>
      <c r="G2258" s="58"/>
      <c r="H2258" s="59"/>
      <c r="I2258" s="58"/>
      <c r="K2258" s="60"/>
    </row>
    <row r="2259" s="37" customFormat="1" ht="12.75" spans="1:14">
      <c r="A2259" s="54"/>
      <c r="B2259" s="54"/>
      <c r="C2259" s="65"/>
      <c r="D2259" s="65"/>
      <c r="E2259" s="54"/>
      <c r="G2259" s="58"/>
      <c r="H2259" s="59"/>
      <c r="I2259" s="58"/>
      <c r="K2259" s="60"/>
    </row>
    <row r="2260" s="37" customFormat="1" ht="12.75" spans="1:14">
      <c r="A2260" s="54"/>
      <c r="B2260" s="54"/>
      <c r="C2260" s="65"/>
      <c r="D2260" s="65"/>
      <c r="E2260" s="54"/>
      <c r="G2260" s="58"/>
      <c r="H2260" s="59"/>
      <c r="I2260" s="58"/>
      <c r="K2260" s="60"/>
    </row>
    <row r="2261" s="37" customFormat="1" ht="12.75" spans="1:14">
      <c r="A2261" s="54"/>
      <c r="B2261" s="54"/>
      <c r="C2261" s="65"/>
      <c r="D2261" s="65"/>
      <c r="E2261" s="54"/>
      <c r="G2261" s="58"/>
      <c r="H2261" s="59"/>
      <c r="I2261" s="58"/>
      <c r="K2261" s="60"/>
    </row>
    <row r="2262" s="37" customFormat="1" ht="12.75" spans="1:14">
      <c r="C2262" s="64"/>
      <c r="D2262" s="64"/>
      <c r="G2262" s="58"/>
      <c r="H2262" s="59"/>
      <c r="I2262" s="58"/>
      <c r="K2262" s="60"/>
    </row>
    <row r="2263" s="37" customFormat="1" ht="12.75" spans="1:14">
      <c r="C2263" s="64"/>
      <c r="D2263" s="64"/>
      <c r="G2263" s="58"/>
      <c r="H2263" s="59"/>
      <c r="I2263" s="58"/>
      <c r="K2263" s="60"/>
    </row>
    <row r="2264" s="37" customFormat="1" ht="12.75" spans="1:14">
      <c r="C2264" s="64"/>
      <c r="D2264" s="64"/>
      <c r="G2264" s="58"/>
      <c r="H2264" s="59"/>
      <c r="I2264" s="58"/>
      <c r="K2264" s="60"/>
    </row>
    <row r="2265" s="37" customFormat="1" ht="12.75" spans="1:14">
      <c r="C2265" s="64"/>
      <c r="D2265" s="64"/>
      <c r="G2265" s="58"/>
      <c r="H2265" s="59"/>
      <c r="I2265" s="58"/>
      <c r="K2265" s="60"/>
    </row>
    <row r="2266" s="37" customFormat="1" ht="12.75" spans="1:14">
      <c r="A2266" s="54"/>
      <c r="B2266" s="54"/>
      <c r="C2266" s="65"/>
      <c r="D2266" s="65"/>
      <c r="E2266" s="54"/>
      <c r="G2266" s="58"/>
      <c r="H2266" s="66"/>
      <c r="I2266" s="58"/>
      <c r="K2266" s="60"/>
    </row>
    <row r="2267" s="37" customFormat="1" ht="12.75" spans="1:14">
      <c r="A2267" s="54"/>
      <c r="B2267" s="54"/>
      <c r="C2267" s="65"/>
      <c r="D2267" s="65"/>
      <c r="E2267" s="54"/>
      <c r="G2267" s="58"/>
      <c r="H2267" s="66"/>
      <c r="I2267" s="58"/>
      <c r="K2267" s="60"/>
    </row>
    <row r="2268" s="37" customFormat="1" ht="12.75" spans="1:14">
      <c r="C2268" s="64"/>
      <c r="D2268" s="64"/>
      <c r="G2268" s="58"/>
      <c r="H2268" s="59"/>
      <c r="I2268" s="58"/>
      <c r="K2268" s="60"/>
    </row>
    <row r="2269" s="37" customFormat="1" ht="12.75" spans="1:14">
      <c r="C2269" s="64"/>
      <c r="D2269" s="64"/>
      <c r="G2269" s="58"/>
      <c r="H2269" s="59"/>
      <c r="I2269" s="58"/>
      <c r="K2269" s="60"/>
      <c r="N2269" s="62"/>
    </row>
    <row r="2270" s="37" customFormat="1" ht="12.75" spans="1:14">
      <c r="C2270" s="64"/>
      <c r="D2270" s="64"/>
      <c r="G2270" s="58"/>
      <c r="H2270" s="59"/>
      <c r="I2270" s="58"/>
      <c r="K2270" s="60"/>
      <c r="N2270" s="62"/>
    </row>
    <row r="2271" s="37" customFormat="1" ht="12.75" spans="1:14">
      <c r="C2271" s="64"/>
      <c r="D2271" s="64"/>
      <c r="G2271" s="58"/>
      <c r="H2271" s="59"/>
      <c r="I2271" s="58"/>
      <c r="K2271" s="60"/>
      <c r="N2271" s="62"/>
    </row>
    <row r="2272" s="37" customFormat="1" ht="12.75" spans="1:14">
      <c r="A2272" s="54"/>
      <c r="B2272" s="54"/>
      <c r="C2272" s="65"/>
      <c r="D2272" s="65"/>
      <c r="E2272" s="54"/>
      <c r="G2272" s="58"/>
      <c r="H2272" s="66"/>
      <c r="I2272" s="58"/>
      <c r="K2272" s="60"/>
      <c r="N2272" s="62"/>
    </row>
    <row r="2273" s="37" customFormat="1" ht="12.75" spans="1:14">
      <c r="A2273" s="54"/>
      <c r="B2273" s="54"/>
      <c r="C2273" s="65"/>
      <c r="D2273" s="65"/>
      <c r="E2273" s="54"/>
      <c r="G2273" s="58"/>
      <c r="H2273" s="66"/>
      <c r="I2273" s="58"/>
      <c r="K2273" s="60"/>
      <c r="N2273" s="62"/>
    </row>
    <row r="2274" s="37" customFormat="1" ht="12.75" spans="1:14">
      <c r="C2274" s="64"/>
      <c r="D2274" s="64"/>
      <c r="G2274" s="58"/>
      <c r="H2274" s="59"/>
      <c r="I2274" s="58"/>
      <c r="K2274" s="60"/>
      <c r="N2274" s="62"/>
    </row>
    <row r="2275" s="37" customFormat="1" ht="12.75" spans="1:14">
      <c r="C2275" s="64"/>
      <c r="D2275" s="64"/>
      <c r="G2275" s="58"/>
      <c r="H2275" s="59"/>
      <c r="I2275" s="58"/>
      <c r="K2275" s="60"/>
      <c r="N2275" s="62"/>
    </row>
    <row r="2276" s="37" customFormat="1" ht="12.75" spans="1:14">
      <c r="C2276" s="64"/>
      <c r="D2276" s="64"/>
      <c r="G2276" s="58"/>
      <c r="H2276" s="59"/>
      <c r="I2276" s="58"/>
      <c r="K2276" s="60"/>
      <c r="N2276" s="62"/>
    </row>
    <row r="2277" s="37" customFormat="1" ht="12.75" spans="1:14">
      <c r="C2277" s="64"/>
      <c r="D2277" s="64"/>
      <c r="G2277" s="58"/>
      <c r="H2277" s="59"/>
      <c r="I2277" s="58"/>
      <c r="K2277" s="60"/>
    </row>
    <row r="2278" s="37" customFormat="1" ht="12.75" spans="1:14">
      <c r="C2278" s="64"/>
      <c r="D2278" s="64"/>
      <c r="G2278" s="58"/>
      <c r="H2278" s="59"/>
      <c r="I2278" s="58"/>
      <c r="K2278" s="60"/>
    </row>
    <row r="2279" s="37" customFormat="1" ht="12.75" spans="1:14">
      <c r="A2279" s="54"/>
      <c r="B2279" s="54"/>
      <c r="C2279" s="65"/>
      <c r="D2279" s="65"/>
      <c r="E2279" s="54"/>
      <c r="G2279" s="58"/>
      <c r="H2279" s="66"/>
      <c r="I2279" s="58"/>
      <c r="K2279" s="60"/>
    </row>
    <row r="2280" s="37" customFormat="1" ht="12.75" spans="1:14">
      <c r="A2280" s="54"/>
      <c r="B2280" s="54"/>
      <c r="C2280" s="65"/>
      <c r="D2280" s="65"/>
      <c r="E2280" s="54"/>
      <c r="G2280" s="58"/>
      <c r="H2280" s="66"/>
      <c r="I2280" s="58"/>
      <c r="K2280" s="60"/>
    </row>
    <row r="2281" s="37" customFormat="1" ht="12.75" spans="1:14">
      <c r="A2281" s="54"/>
      <c r="B2281" s="54"/>
      <c r="C2281" s="65"/>
      <c r="D2281" s="65"/>
      <c r="E2281" s="54"/>
      <c r="G2281" s="58"/>
      <c r="H2281" s="66"/>
      <c r="I2281" s="58"/>
      <c r="K2281" s="60"/>
    </row>
    <row r="2282" s="37" customFormat="1" ht="12.75" spans="1:14">
      <c r="C2282" s="64"/>
      <c r="D2282" s="64"/>
      <c r="G2282" s="58"/>
      <c r="H2282" s="59"/>
      <c r="I2282" s="58"/>
      <c r="K2282" s="60"/>
    </row>
    <row r="2283" s="37" customFormat="1" ht="12.75" spans="1:14">
      <c r="C2283" s="64"/>
      <c r="D2283" s="64"/>
      <c r="G2283" s="58"/>
      <c r="H2283" s="59"/>
      <c r="I2283" s="58"/>
      <c r="K2283" s="60"/>
    </row>
    <row r="2284" s="37" customFormat="1" ht="12.75" spans="1:14">
      <c r="C2284" s="64"/>
      <c r="D2284" s="64"/>
      <c r="G2284" s="58"/>
      <c r="H2284" s="59"/>
      <c r="I2284" s="58"/>
      <c r="K2284" s="60"/>
    </row>
    <row r="2285" s="37" customFormat="1" ht="12.75" spans="1:14">
      <c r="C2285" s="64"/>
      <c r="D2285" s="64"/>
      <c r="G2285" s="58"/>
      <c r="H2285" s="59"/>
      <c r="I2285" s="58"/>
      <c r="K2285" s="60"/>
    </row>
    <row r="2286" s="37" customFormat="1" ht="12.75" spans="1:14">
      <c r="A2286" s="54"/>
      <c r="B2286" s="54"/>
      <c r="C2286" s="65"/>
      <c r="D2286" s="65"/>
      <c r="E2286" s="54"/>
      <c r="G2286" s="58"/>
      <c r="H2286" s="66"/>
      <c r="I2286" s="58"/>
      <c r="K2286" s="60"/>
    </row>
    <row r="2287" s="37" customFormat="1" ht="12.75" spans="1:14">
      <c r="A2287" s="54"/>
      <c r="B2287" s="54"/>
      <c r="C2287" s="65"/>
      <c r="D2287" s="65"/>
      <c r="E2287" s="54"/>
      <c r="G2287" s="58"/>
      <c r="H2287" s="66"/>
      <c r="I2287" s="58"/>
      <c r="K2287" s="60"/>
    </row>
    <row r="2288" s="37" customFormat="1" ht="12.75" spans="1:14">
      <c r="C2288" s="64"/>
      <c r="D2288" s="64"/>
      <c r="G2288" s="58"/>
      <c r="H2288" s="59"/>
      <c r="I2288" s="58"/>
      <c r="K2288" s="60"/>
    </row>
    <row r="2289" s="37" customFormat="1" ht="12.75" spans="1:14">
      <c r="C2289" s="64"/>
      <c r="D2289" s="64"/>
      <c r="G2289" s="58"/>
      <c r="H2289" s="59"/>
      <c r="I2289" s="58"/>
      <c r="K2289" s="60"/>
    </row>
    <row r="2290" s="37" customFormat="1" ht="12.75" spans="1:14">
      <c r="C2290" s="64"/>
      <c r="D2290" s="64"/>
      <c r="G2290" s="58"/>
      <c r="H2290" s="59"/>
      <c r="I2290" s="58"/>
      <c r="K2290" s="60"/>
    </row>
    <row r="2291" s="37" customFormat="1" ht="12.75" spans="1:14">
      <c r="C2291" s="64"/>
      <c r="D2291" s="64"/>
      <c r="G2291" s="58"/>
      <c r="H2291" s="59"/>
      <c r="I2291" s="58"/>
      <c r="K2291" s="60"/>
    </row>
    <row r="2292" s="37" customFormat="1" ht="12.75" spans="1:14">
      <c r="C2292" s="64"/>
      <c r="D2292" s="64"/>
      <c r="G2292" s="58"/>
      <c r="H2292" s="59"/>
      <c r="I2292" s="58"/>
      <c r="K2292" s="60"/>
      <c r="N2292" s="62"/>
    </row>
    <row r="2293" s="37" customFormat="1" ht="12.75" spans="1:14">
      <c r="A2293" s="54"/>
      <c r="B2293" s="54"/>
      <c r="C2293" s="65"/>
      <c r="D2293" s="65"/>
      <c r="E2293" s="54"/>
      <c r="G2293" s="58"/>
      <c r="H2293" s="66"/>
      <c r="I2293" s="58"/>
      <c r="K2293" s="60"/>
      <c r="N2293" s="62"/>
    </row>
    <row r="2294" s="37" customFormat="1" ht="12.75" spans="1:14">
      <c r="A2294" s="54"/>
      <c r="B2294" s="54"/>
      <c r="C2294" s="65"/>
      <c r="D2294" s="65"/>
      <c r="E2294" s="54"/>
      <c r="G2294" s="58"/>
      <c r="H2294" s="66"/>
      <c r="I2294" s="58"/>
      <c r="K2294" s="60"/>
      <c r="N2294" s="62"/>
    </row>
    <row r="2295" s="37" customFormat="1" ht="12.75" spans="1:14">
      <c r="A2295" s="54"/>
      <c r="B2295" s="54"/>
      <c r="C2295" s="65"/>
      <c r="D2295" s="65"/>
      <c r="E2295" s="54"/>
      <c r="G2295" s="58"/>
      <c r="H2295" s="66"/>
      <c r="I2295" s="58"/>
      <c r="K2295" s="60"/>
      <c r="N2295" s="62"/>
    </row>
    <row r="2296" s="37" customFormat="1" ht="12.75" spans="1:14">
      <c r="C2296" s="64"/>
      <c r="D2296" s="64"/>
      <c r="G2296" s="58"/>
      <c r="H2296" s="59"/>
      <c r="I2296" s="58"/>
      <c r="K2296" s="60"/>
      <c r="N2296" s="62"/>
    </row>
    <row r="2297" s="37" customFormat="1" ht="12.75" spans="1:14">
      <c r="C2297" s="64"/>
      <c r="D2297" s="64"/>
      <c r="G2297" s="58"/>
      <c r="H2297" s="59"/>
      <c r="I2297" s="58"/>
      <c r="L2297" s="63"/>
      <c r="N2297" s="62"/>
    </row>
    <row r="2298" s="37" customFormat="1" ht="12.75" spans="1:14">
      <c r="C2298" s="64"/>
      <c r="D2298" s="64"/>
      <c r="G2298" s="58"/>
      <c r="H2298" s="59"/>
      <c r="I2298" s="58"/>
      <c r="L2298" s="63"/>
      <c r="N2298" s="62"/>
    </row>
    <row r="2299" s="37" customFormat="1" ht="12.75" spans="1:14">
      <c r="C2299" s="64"/>
      <c r="D2299" s="64"/>
      <c r="G2299" s="58"/>
      <c r="H2299" s="59"/>
      <c r="I2299" s="58"/>
      <c r="K2299" s="60"/>
    </row>
    <row r="2300" s="37" customFormat="1" ht="12.75" spans="1:14">
      <c r="A2300" s="54"/>
      <c r="B2300" s="54"/>
      <c r="C2300" s="65"/>
      <c r="D2300" s="65"/>
      <c r="E2300" s="54"/>
      <c r="G2300" s="58"/>
      <c r="H2300" s="66"/>
      <c r="I2300" s="58"/>
      <c r="K2300" s="60"/>
    </row>
    <row r="2301" s="37" customFormat="1" ht="12.75" spans="1:14">
      <c r="A2301" s="54"/>
      <c r="B2301" s="54"/>
      <c r="C2301" s="65"/>
      <c r="D2301" s="65"/>
      <c r="E2301" s="54"/>
      <c r="G2301" s="58"/>
      <c r="H2301" s="66"/>
      <c r="I2301" s="58"/>
      <c r="K2301" s="60"/>
    </row>
    <row r="2302" s="37" customFormat="1" ht="12.75" spans="1:14">
      <c r="A2302" s="54"/>
      <c r="B2302" s="54"/>
      <c r="C2302" s="65"/>
      <c r="D2302" s="65"/>
      <c r="E2302" s="54"/>
      <c r="G2302" s="58"/>
      <c r="H2302" s="66"/>
      <c r="I2302" s="58"/>
      <c r="K2302" s="60"/>
    </row>
    <row r="2303" s="37" customFormat="1" ht="12.75" spans="1:14">
      <c r="C2303" s="64"/>
      <c r="D2303" s="64"/>
      <c r="G2303" s="58"/>
      <c r="H2303" s="59"/>
      <c r="I2303" s="58"/>
      <c r="K2303" s="60"/>
    </row>
    <row r="2304" s="37" customFormat="1" ht="12.75" spans="1:14">
      <c r="C2304" s="64"/>
      <c r="D2304" s="64"/>
      <c r="G2304" s="58"/>
      <c r="H2304" s="59"/>
      <c r="I2304" s="58"/>
      <c r="K2304" s="60"/>
    </row>
    <row r="2305" s="37" customFormat="1" ht="12.75" spans="1:11">
      <c r="C2305" s="64"/>
      <c r="D2305" s="64"/>
      <c r="G2305" s="58"/>
      <c r="H2305" s="59"/>
      <c r="I2305" s="58"/>
      <c r="K2305" s="60"/>
    </row>
    <row r="2306" s="37" customFormat="1" ht="12.75" spans="1:11">
      <c r="C2306" s="64"/>
      <c r="D2306" s="64"/>
      <c r="G2306" s="58"/>
      <c r="H2306" s="59"/>
      <c r="I2306" s="58"/>
      <c r="K2306" s="60"/>
    </row>
    <row r="2307" s="37" customFormat="1" ht="12.75" spans="1:11">
      <c r="C2307" s="64"/>
      <c r="D2307" s="64"/>
      <c r="G2307" s="58"/>
      <c r="H2307" s="59"/>
      <c r="I2307" s="58"/>
      <c r="K2307" s="60"/>
    </row>
    <row r="2308" s="37" customFormat="1" ht="12.75" spans="1:11">
      <c r="C2308" s="64"/>
      <c r="D2308" s="64"/>
      <c r="G2308" s="58"/>
      <c r="H2308" s="59"/>
      <c r="I2308" s="58"/>
      <c r="K2308" s="60"/>
    </row>
    <row r="2309" s="37" customFormat="1" ht="12.75" spans="1:11">
      <c r="C2309" s="64"/>
      <c r="D2309" s="64"/>
      <c r="G2309" s="58"/>
      <c r="H2309" s="59"/>
      <c r="I2309" s="58"/>
      <c r="K2309" s="60"/>
    </row>
    <row r="2310" s="37" customFormat="1" ht="12.75" spans="1:11">
      <c r="C2310" s="64"/>
      <c r="D2310" s="64"/>
      <c r="G2310" s="58"/>
      <c r="H2310" s="59"/>
      <c r="I2310" s="58"/>
      <c r="K2310" s="60"/>
    </row>
    <row r="2311" s="37" customFormat="1" ht="12.75" spans="1:11">
      <c r="C2311" s="64"/>
      <c r="D2311" s="64"/>
      <c r="G2311" s="58"/>
      <c r="H2311" s="59"/>
      <c r="I2311" s="58"/>
      <c r="K2311" s="60"/>
    </row>
    <row r="2312" s="37" customFormat="1" ht="12.75" spans="1:11">
      <c r="A2312" s="54"/>
      <c r="B2312" s="54"/>
      <c r="C2312" s="65"/>
      <c r="D2312" s="65"/>
      <c r="E2312" s="54"/>
      <c r="G2312" s="58"/>
      <c r="H2312" s="66"/>
      <c r="I2312" s="58"/>
      <c r="K2312" s="60"/>
    </row>
    <row r="2313" s="37" customFormat="1" ht="12.75" spans="1:11">
      <c r="A2313" s="54"/>
      <c r="B2313" s="54"/>
      <c r="C2313" s="65"/>
      <c r="D2313" s="65"/>
      <c r="E2313" s="54"/>
      <c r="G2313" s="58"/>
      <c r="H2313" s="66"/>
      <c r="I2313" s="58"/>
      <c r="K2313" s="60"/>
    </row>
    <row r="2314" s="37" customFormat="1" ht="12.75" spans="1:11">
      <c r="C2314" s="64"/>
      <c r="D2314" s="67"/>
      <c r="G2314" s="58"/>
      <c r="H2314" s="59"/>
      <c r="I2314" s="58"/>
      <c r="K2314" s="60"/>
    </row>
    <row r="2315" s="37" customFormat="1" ht="12.75" spans="1:11">
      <c r="C2315" s="64"/>
      <c r="D2315" s="67"/>
      <c r="G2315" s="58"/>
      <c r="H2315" s="59"/>
      <c r="I2315" s="58"/>
      <c r="K2315" s="60"/>
    </row>
    <row r="2316" s="37" customFormat="1" ht="12.75" spans="1:11">
      <c r="C2316" s="64"/>
      <c r="D2316" s="67"/>
      <c r="G2316" s="58"/>
      <c r="H2316" s="59"/>
      <c r="I2316" s="58"/>
      <c r="K2316" s="60"/>
    </row>
    <row r="2317" s="37" customFormat="1" ht="12.75" spans="1:11">
      <c r="C2317" s="64"/>
      <c r="D2317" s="67"/>
      <c r="G2317" s="58"/>
      <c r="H2317" s="59"/>
      <c r="I2317" s="58"/>
      <c r="K2317" s="60"/>
    </row>
    <row r="2318" s="37" customFormat="1" ht="12.75" spans="1:11">
      <c r="C2318" s="64"/>
      <c r="D2318" s="67"/>
      <c r="G2318" s="58"/>
      <c r="H2318" s="59"/>
      <c r="I2318" s="58"/>
      <c r="K2318" s="60"/>
    </row>
    <row r="2319" s="37" customFormat="1" ht="12.75" spans="1:11">
      <c r="A2319" s="54"/>
      <c r="B2319" s="54"/>
      <c r="C2319" s="65"/>
      <c r="D2319" s="67"/>
      <c r="E2319" s="54"/>
      <c r="G2319" s="58"/>
      <c r="H2319" s="66"/>
      <c r="I2319" s="58"/>
      <c r="K2319" s="60"/>
    </row>
    <row r="2320" s="37" customFormat="1" ht="12.75" spans="1:11">
      <c r="A2320" s="54"/>
      <c r="B2320" s="54"/>
      <c r="C2320" s="65"/>
      <c r="D2320" s="67"/>
      <c r="E2320" s="54"/>
      <c r="G2320" s="58"/>
      <c r="H2320" s="66"/>
      <c r="I2320" s="58"/>
      <c r="K2320" s="60"/>
    </row>
    <row r="2321" s="37" customFormat="1" ht="12.75" spans="1:11">
      <c r="C2321" s="64"/>
      <c r="D2321" s="64"/>
      <c r="G2321" s="58"/>
      <c r="H2321" s="59"/>
      <c r="I2321" s="58"/>
      <c r="K2321" s="60"/>
    </row>
    <row r="2322" s="37" customFormat="1" ht="12.75" spans="1:11">
      <c r="C2322" s="64"/>
      <c r="D2322" s="64"/>
      <c r="G2322" s="58"/>
      <c r="H2322" s="59"/>
      <c r="I2322" s="58"/>
      <c r="K2322" s="60"/>
    </row>
    <row r="2323" s="37" customFormat="1" ht="12.75" spans="1:11">
      <c r="C2323" s="64"/>
      <c r="D2323" s="64"/>
      <c r="G2323" s="58"/>
      <c r="H2323" s="59"/>
      <c r="I2323" s="58"/>
      <c r="K2323" s="60"/>
    </row>
    <row r="2324" s="37" customFormat="1" ht="12.75" spans="1:11">
      <c r="C2324" s="64"/>
      <c r="D2324" s="64"/>
      <c r="G2324" s="58"/>
      <c r="H2324" s="59"/>
      <c r="I2324" s="58"/>
      <c r="K2324" s="60"/>
    </row>
    <row r="2325" s="37" customFormat="1" ht="12.75" spans="1:11">
      <c r="A2325" s="54"/>
      <c r="B2325" s="54"/>
      <c r="C2325" s="65"/>
      <c r="D2325" s="65"/>
      <c r="E2325" s="54"/>
      <c r="G2325" s="58"/>
      <c r="H2325" s="66"/>
      <c r="I2325" s="58"/>
      <c r="K2325" s="60"/>
    </row>
    <row r="2326" s="37" customFormat="1" ht="12.75" spans="1:11">
      <c r="A2326" s="54"/>
      <c r="B2326" s="54"/>
      <c r="C2326" s="65"/>
      <c r="D2326" s="65"/>
      <c r="E2326" s="54"/>
      <c r="G2326" s="58"/>
      <c r="H2326" s="66"/>
      <c r="I2326" s="58"/>
      <c r="K2326" s="60"/>
    </row>
    <row r="2327" s="37" customFormat="1" ht="12.75" spans="1:11">
      <c r="A2327" s="54"/>
      <c r="B2327" s="54"/>
      <c r="C2327" s="65"/>
      <c r="D2327" s="65"/>
      <c r="E2327" s="54"/>
      <c r="G2327" s="58"/>
      <c r="H2327" s="66"/>
      <c r="I2327" s="58"/>
      <c r="K2327" s="60"/>
    </row>
    <row r="2328" s="37" customFormat="1" ht="12.75" spans="1:11">
      <c r="A2328" s="54"/>
      <c r="B2328" s="54"/>
      <c r="C2328" s="65"/>
      <c r="D2328" s="65"/>
      <c r="E2328" s="54"/>
      <c r="G2328" s="58"/>
      <c r="H2328" s="66"/>
      <c r="I2328" s="58"/>
      <c r="K2328" s="60"/>
    </row>
    <row r="2329" s="37" customFormat="1" ht="12.75" spans="1:11">
      <c r="C2329" s="64"/>
      <c r="D2329" s="64"/>
      <c r="G2329" s="58"/>
      <c r="H2329" s="59"/>
      <c r="I2329" s="58"/>
      <c r="K2329" s="60"/>
    </row>
    <row r="2330" s="37" customFormat="1" ht="12.75" spans="1:11">
      <c r="C2330" s="64"/>
      <c r="D2330" s="64"/>
      <c r="G2330" s="58"/>
      <c r="H2330" s="59"/>
      <c r="I2330" s="58"/>
      <c r="K2330" s="60"/>
    </row>
    <row r="2331" s="37" customFormat="1" ht="12.75" spans="1:11">
      <c r="C2331" s="64"/>
      <c r="D2331" s="64"/>
      <c r="G2331" s="58"/>
      <c r="H2331" s="59"/>
      <c r="I2331" s="58"/>
      <c r="K2331" s="60"/>
    </row>
    <row r="2332" s="37" customFormat="1" ht="12.75" spans="1:11">
      <c r="C2332" s="64"/>
      <c r="D2332" s="64"/>
      <c r="G2332" s="58"/>
      <c r="H2332" s="59"/>
      <c r="I2332" s="58"/>
      <c r="K2332" s="60"/>
    </row>
    <row r="2333" s="37" customFormat="1" ht="12.75" spans="1:11">
      <c r="C2333" s="64"/>
      <c r="D2333" s="64"/>
      <c r="G2333" s="58"/>
      <c r="H2333" s="59"/>
      <c r="I2333" s="58"/>
      <c r="K2333" s="60"/>
    </row>
    <row r="2334" s="37" customFormat="1" ht="12.75" spans="1:11">
      <c r="A2334" s="54"/>
      <c r="B2334" s="54"/>
      <c r="C2334" s="65"/>
      <c r="D2334" s="65"/>
      <c r="E2334" s="54"/>
      <c r="G2334" s="58"/>
      <c r="H2334" s="66"/>
      <c r="I2334" s="58"/>
      <c r="K2334" s="60"/>
    </row>
    <row r="2335" s="37" customFormat="1" ht="12.75" spans="1:11">
      <c r="A2335" s="54"/>
      <c r="B2335" s="54"/>
      <c r="C2335" s="65"/>
      <c r="D2335" s="65"/>
      <c r="E2335" s="54"/>
      <c r="G2335" s="58"/>
      <c r="H2335" s="66"/>
      <c r="I2335" s="58"/>
      <c r="K2335" s="60"/>
    </row>
    <row r="2336" s="37" customFormat="1" ht="12.75" spans="1:11">
      <c r="A2336" s="54"/>
      <c r="B2336" s="54"/>
      <c r="C2336" s="65"/>
      <c r="D2336" s="65"/>
      <c r="E2336" s="54"/>
      <c r="G2336" s="58"/>
      <c r="H2336" s="66"/>
      <c r="I2336" s="58"/>
      <c r="K2336" s="60"/>
    </row>
    <row r="2337" s="37" customFormat="1" ht="12.75" spans="1:11">
      <c r="C2337" s="64"/>
      <c r="D2337" s="64"/>
      <c r="G2337" s="58"/>
      <c r="H2337" s="59"/>
      <c r="I2337" s="58"/>
      <c r="K2337" s="60"/>
    </row>
    <row r="2338" s="37" customFormat="1" ht="12.75" spans="1:11">
      <c r="C2338" s="64"/>
      <c r="D2338" s="64"/>
      <c r="G2338" s="58"/>
      <c r="H2338" s="59"/>
      <c r="I2338" s="58"/>
      <c r="K2338" s="60"/>
    </row>
    <row r="2339" s="37" customFormat="1" ht="12.75" spans="1:11">
      <c r="C2339" s="64"/>
      <c r="D2339" s="64"/>
      <c r="G2339" s="58"/>
      <c r="H2339" s="59"/>
      <c r="I2339" s="58"/>
      <c r="K2339" s="60"/>
    </row>
    <row r="2340" s="37" customFormat="1" ht="12.75" spans="1:11">
      <c r="C2340" s="64"/>
      <c r="D2340" s="64"/>
      <c r="G2340" s="58"/>
      <c r="H2340" s="59"/>
      <c r="I2340" s="58"/>
      <c r="K2340" s="60"/>
    </row>
    <row r="2341" s="37" customFormat="1" ht="12.75" spans="1:11">
      <c r="A2341" s="54"/>
      <c r="B2341" s="54"/>
      <c r="C2341" s="65"/>
      <c r="D2341" s="65"/>
      <c r="E2341" s="54"/>
      <c r="G2341" s="58"/>
      <c r="H2341" s="66"/>
      <c r="I2341" s="58"/>
      <c r="K2341" s="60"/>
    </row>
    <row r="2342" s="37" customFormat="1" ht="12.75" spans="1:11">
      <c r="A2342" s="54"/>
      <c r="B2342" s="54"/>
      <c r="C2342" s="65"/>
      <c r="D2342" s="65"/>
      <c r="E2342" s="54"/>
      <c r="G2342" s="58"/>
      <c r="H2342" s="66"/>
      <c r="I2342" s="58"/>
      <c r="K2342" s="60"/>
    </row>
    <row r="2343" s="37" customFormat="1" ht="12.75" spans="1:11">
      <c r="A2343" s="54"/>
      <c r="B2343" s="54"/>
      <c r="C2343" s="65"/>
      <c r="D2343" s="65"/>
      <c r="E2343" s="54"/>
      <c r="G2343" s="58"/>
      <c r="H2343" s="66"/>
      <c r="I2343" s="58"/>
      <c r="K2343" s="60"/>
    </row>
    <row r="2344" s="37" customFormat="1" ht="12.75" spans="1:11">
      <c r="C2344" s="64"/>
      <c r="D2344" s="64"/>
      <c r="G2344" s="58"/>
      <c r="H2344" s="59"/>
      <c r="I2344" s="58"/>
      <c r="K2344" s="60"/>
    </row>
    <row r="2345" s="37" customFormat="1" ht="12.75" spans="1:11">
      <c r="C2345" s="64"/>
      <c r="D2345" s="64"/>
      <c r="G2345" s="58"/>
      <c r="H2345" s="59"/>
      <c r="I2345" s="58"/>
      <c r="K2345" s="60"/>
    </row>
    <row r="2346" s="37" customFormat="1" ht="12.75" spans="1:11">
      <c r="C2346" s="64"/>
      <c r="D2346" s="64"/>
      <c r="G2346" s="58"/>
      <c r="H2346" s="59"/>
      <c r="I2346" s="58"/>
      <c r="K2346" s="60"/>
    </row>
    <row r="2347" s="37" customFormat="1" ht="12.75" spans="1:11">
      <c r="C2347" s="64"/>
      <c r="D2347" s="64"/>
      <c r="G2347" s="58"/>
      <c r="H2347" s="59"/>
      <c r="I2347" s="58"/>
      <c r="K2347" s="60"/>
    </row>
    <row r="2348" s="37" customFormat="1" ht="12.75" spans="1:11">
      <c r="C2348" s="64"/>
      <c r="D2348" s="64"/>
      <c r="G2348" s="58"/>
      <c r="H2348" s="59"/>
      <c r="I2348" s="58"/>
      <c r="K2348" s="60"/>
    </row>
    <row r="2349" s="37" customFormat="1" ht="12.75" spans="1:11">
      <c r="C2349" s="64"/>
      <c r="D2349" s="64"/>
      <c r="G2349" s="58"/>
      <c r="H2349" s="59"/>
      <c r="I2349" s="58"/>
      <c r="K2349" s="60"/>
    </row>
    <row r="2350" s="37" customFormat="1" ht="12.75" spans="1:11">
      <c r="C2350" s="64"/>
      <c r="D2350" s="64"/>
      <c r="G2350" s="58"/>
      <c r="H2350" s="59"/>
      <c r="I2350" s="58"/>
      <c r="K2350" s="60"/>
    </row>
    <row r="2351" s="37" customFormat="1" ht="12.75" spans="1:11">
      <c r="C2351" s="64"/>
      <c r="D2351" s="64"/>
      <c r="G2351" s="58"/>
      <c r="H2351" s="59"/>
      <c r="I2351" s="58"/>
      <c r="K2351" s="60"/>
    </row>
    <row r="2352" s="37" customFormat="1" ht="12.75" spans="1:11">
      <c r="C2352" s="64"/>
      <c r="D2352" s="64"/>
      <c r="G2352" s="58"/>
      <c r="H2352" s="59"/>
      <c r="I2352" s="58"/>
      <c r="K2352" s="60"/>
    </row>
    <row r="2353" s="37" customFormat="1" ht="12.75" spans="1:11">
      <c r="A2353" s="54"/>
      <c r="B2353" s="54"/>
      <c r="C2353" s="65"/>
      <c r="D2353" s="64"/>
      <c r="E2353" s="54"/>
      <c r="G2353" s="58"/>
      <c r="H2353" s="66"/>
      <c r="I2353" s="58"/>
      <c r="K2353" s="60"/>
    </row>
    <row r="2354" s="37" customFormat="1" ht="12.75" spans="1:11">
      <c r="A2354" s="54"/>
      <c r="B2354" s="54"/>
      <c r="C2354" s="65"/>
      <c r="D2354" s="64"/>
      <c r="E2354" s="54"/>
      <c r="G2354" s="58"/>
      <c r="H2354" s="66"/>
      <c r="I2354" s="58"/>
      <c r="K2354" s="60"/>
    </row>
    <row r="2355" s="37" customFormat="1" ht="12.75" spans="1:11">
      <c r="A2355" s="54"/>
      <c r="B2355" s="54"/>
      <c r="C2355" s="65"/>
      <c r="D2355" s="64"/>
      <c r="E2355" s="54"/>
      <c r="G2355" s="58"/>
      <c r="H2355" s="66"/>
      <c r="I2355" s="58"/>
      <c r="K2355" s="60"/>
    </row>
    <row r="2356" s="37" customFormat="1" ht="12.75" spans="1:11">
      <c r="C2356" s="64"/>
      <c r="D2356" s="64"/>
      <c r="G2356" s="58"/>
      <c r="H2356" s="59"/>
      <c r="I2356" s="58"/>
      <c r="K2356" s="60"/>
    </row>
    <row r="2357" s="37" customFormat="1" ht="12.75" spans="1:11">
      <c r="C2357" s="64"/>
      <c r="D2357" s="64"/>
      <c r="G2357" s="58"/>
      <c r="H2357" s="59"/>
      <c r="I2357" s="58"/>
      <c r="K2357" s="60"/>
    </row>
    <row r="2358" s="37" customFormat="1" ht="12.75" spans="1:11">
      <c r="C2358" s="64"/>
      <c r="D2358" s="64"/>
      <c r="G2358" s="58"/>
      <c r="H2358" s="59"/>
      <c r="I2358" s="58"/>
      <c r="K2358" s="60"/>
    </row>
    <row r="2359" s="37" customFormat="1" ht="12.75" spans="1:11">
      <c r="C2359" s="64"/>
      <c r="D2359" s="64"/>
      <c r="G2359" s="58"/>
      <c r="H2359" s="59"/>
      <c r="I2359" s="58"/>
      <c r="K2359" s="60"/>
    </row>
    <row r="2360" s="37" customFormat="1" ht="12.75" spans="1:11">
      <c r="A2360" s="54"/>
      <c r="B2360" s="54"/>
      <c r="C2360" s="65"/>
      <c r="D2360" s="65"/>
      <c r="E2360" s="54"/>
      <c r="G2360" s="58"/>
      <c r="H2360" s="66"/>
      <c r="I2360" s="58"/>
      <c r="K2360" s="60"/>
    </row>
    <row r="2361" s="37" customFormat="1" ht="12.75" spans="1:11">
      <c r="A2361" s="54"/>
      <c r="B2361" s="54"/>
      <c r="C2361" s="65"/>
      <c r="D2361" s="65"/>
      <c r="E2361" s="54"/>
      <c r="G2361" s="58"/>
      <c r="H2361" s="66"/>
      <c r="I2361" s="58"/>
      <c r="K2361" s="60"/>
    </row>
    <row r="2362" s="37" customFormat="1" ht="12.75" spans="1:11">
      <c r="C2362" s="64"/>
      <c r="D2362" s="64"/>
      <c r="G2362" s="58"/>
      <c r="H2362" s="59"/>
      <c r="I2362" s="58"/>
      <c r="K2362" s="60"/>
    </row>
    <row r="2363" s="37" customFormat="1" ht="12.75" spans="1:11">
      <c r="C2363" s="64"/>
      <c r="D2363" s="64"/>
      <c r="G2363" s="58"/>
      <c r="H2363" s="59"/>
      <c r="I2363" s="58"/>
      <c r="K2363" s="60"/>
    </row>
    <row r="2364" s="37" customFormat="1" ht="12.75" spans="1:11">
      <c r="C2364" s="64"/>
      <c r="D2364" s="64"/>
      <c r="G2364" s="58"/>
      <c r="H2364" s="59"/>
      <c r="I2364" s="58"/>
      <c r="K2364" s="60"/>
    </row>
    <row r="2365" s="37" customFormat="1" ht="12.75" spans="1:11">
      <c r="C2365" s="64"/>
      <c r="D2365" s="64"/>
      <c r="G2365" s="58"/>
      <c r="H2365" s="59"/>
      <c r="I2365" s="58"/>
      <c r="K2365" s="60"/>
    </row>
    <row r="2366" s="37" customFormat="1" ht="12.75" spans="1:11">
      <c r="C2366" s="64"/>
      <c r="D2366" s="64"/>
      <c r="G2366" s="58"/>
      <c r="H2366" s="59"/>
      <c r="I2366" s="58"/>
      <c r="K2366" s="60"/>
    </row>
    <row r="2367" s="37" customFormat="1" ht="12.75" spans="1:11">
      <c r="A2367" s="54"/>
      <c r="B2367" s="54"/>
      <c r="C2367" s="65"/>
      <c r="D2367" s="65"/>
      <c r="E2367" s="54"/>
      <c r="G2367" s="58"/>
      <c r="H2367" s="66"/>
      <c r="I2367" s="58"/>
      <c r="K2367" s="60"/>
    </row>
    <row r="2368" s="37" customFormat="1" ht="12.75" spans="1:11">
      <c r="A2368" s="54"/>
      <c r="B2368" s="54"/>
      <c r="C2368" s="65"/>
      <c r="D2368" s="65"/>
      <c r="E2368" s="54"/>
      <c r="G2368" s="58"/>
      <c r="H2368" s="66"/>
      <c r="I2368" s="58"/>
      <c r="K2368" s="60"/>
    </row>
    <row r="2369" s="37" customFormat="1" ht="12.75" spans="1:11">
      <c r="C2369" s="64"/>
      <c r="D2369" s="64"/>
      <c r="G2369" s="58"/>
      <c r="H2369" s="59"/>
      <c r="I2369" s="58"/>
      <c r="K2369" s="60"/>
    </row>
    <row r="2370" s="37" customFormat="1" ht="12.75" spans="1:11">
      <c r="C2370" s="64"/>
      <c r="D2370" s="64"/>
      <c r="G2370" s="58"/>
      <c r="H2370" s="59"/>
      <c r="I2370" s="58"/>
      <c r="K2370" s="60"/>
    </row>
    <row r="2371" s="37" customFormat="1" ht="12.75" spans="1:11">
      <c r="C2371" s="64"/>
      <c r="D2371" s="64"/>
      <c r="G2371" s="58"/>
      <c r="H2371" s="59"/>
      <c r="I2371" s="58"/>
      <c r="K2371" s="60"/>
    </row>
    <row r="2372" s="37" customFormat="1" ht="12.75" spans="1:11">
      <c r="C2372" s="64"/>
      <c r="D2372" s="64"/>
      <c r="G2372" s="58"/>
      <c r="H2372" s="59"/>
      <c r="I2372" s="58"/>
      <c r="K2372" s="60"/>
    </row>
    <row r="2373" s="37" customFormat="1" ht="12.75" spans="1:11">
      <c r="A2373" s="54"/>
      <c r="B2373" s="54"/>
      <c r="C2373" s="65"/>
      <c r="D2373" s="65"/>
      <c r="E2373" s="54"/>
      <c r="G2373" s="58"/>
      <c r="H2373" s="66"/>
      <c r="I2373" s="58"/>
      <c r="K2373" s="60"/>
    </row>
    <row r="2374" s="37" customFormat="1" ht="12.75" spans="1:11">
      <c r="A2374" s="54"/>
      <c r="B2374" s="54"/>
      <c r="C2374" s="65"/>
      <c r="D2374" s="65"/>
      <c r="E2374" s="54"/>
      <c r="G2374" s="58"/>
      <c r="H2374" s="66"/>
      <c r="I2374" s="58"/>
      <c r="K2374" s="60"/>
    </row>
    <row r="2375" s="37" customFormat="1" ht="12.75" spans="1:11">
      <c r="A2375" s="54"/>
      <c r="B2375" s="54"/>
      <c r="C2375" s="65"/>
      <c r="D2375" s="65"/>
      <c r="E2375" s="54"/>
      <c r="G2375" s="58"/>
      <c r="H2375" s="66"/>
      <c r="I2375" s="58"/>
      <c r="K2375" s="60"/>
    </row>
    <row r="2376" s="37" customFormat="1" ht="12.75" spans="1:11">
      <c r="A2376" s="54"/>
      <c r="B2376" s="54"/>
      <c r="C2376" s="65"/>
      <c r="D2376" s="65"/>
      <c r="E2376" s="54"/>
      <c r="G2376" s="58"/>
      <c r="H2376" s="66"/>
      <c r="I2376" s="58"/>
      <c r="K2376" s="60"/>
    </row>
    <row r="2377" s="37" customFormat="1" ht="12.75" spans="1:11">
      <c r="C2377" s="64"/>
      <c r="D2377" s="64"/>
      <c r="G2377" s="58"/>
      <c r="H2377" s="59"/>
      <c r="I2377" s="58"/>
      <c r="K2377" s="60"/>
    </row>
    <row r="2378" s="37" customFormat="1" ht="12.75" spans="1:11">
      <c r="C2378" s="64"/>
      <c r="D2378" s="64"/>
      <c r="G2378" s="58"/>
      <c r="H2378" s="59"/>
      <c r="I2378" s="58"/>
      <c r="K2378" s="60"/>
    </row>
    <row r="2379" s="37" customFormat="1" ht="12.75" spans="1:11">
      <c r="C2379" s="64"/>
      <c r="D2379" s="64"/>
      <c r="G2379" s="58"/>
      <c r="H2379" s="59"/>
      <c r="I2379" s="58"/>
      <c r="K2379" s="60"/>
    </row>
    <row r="2380" s="37" customFormat="1" ht="12.75" spans="1:11">
      <c r="C2380" s="64"/>
      <c r="D2380" s="64"/>
      <c r="G2380" s="58"/>
      <c r="H2380" s="59"/>
      <c r="I2380" s="58"/>
      <c r="K2380" s="60"/>
    </row>
    <row r="2381" s="37" customFormat="1" ht="12.75" spans="1:11">
      <c r="A2381" s="54"/>
      <c r="B2381" s="54"/>
      <c r="C2381" s="65"/>
      <c r="D2381" s="65"/>
      <c r="E2381" s="54"/>
      <c r="G2381" s="58"/>
      <c r="H2381" s="66"/>
      <c r="I2381" s="58"/>
      <c r="K2381" s="60"/>
    </row>
    <row r="2382" s="37" customFormat="1" ht="12.75" spans="1:11">
      <c r="A2382" s="54"/>
      <c r="B2382" s="54"/>
      <c r="C2382" s="65"/>
      <c r="D2382" s="65"/>
      <c r="E2382" s="54"/>
      <c r="G2382" s="58"/>
      <c r="H2382" s="66"/>
      <c r="I2382" s="58"/>
      <c r="K2382" s="60"/>
    </row>
    <row r="2383" s="37" customFormat="1" ht="12.75" spans="1:11">
      <c r="A2383" s="54"/>
      <c r="B2383" s="54"/>
      <c r="C2383" s="65"/>
      <c r="D2383" s="65"/>
      <c r="E2383" s="54"/>
      <c r="G2383" s="58"/>
      <c r="H2383" s="66"/>
      <c r="I2383" s="58"/>
      <c r="K2383" s="60"/>
    </row>
    <row r="2384" s="37" customFormat="1" ht="12.75" spans="1:11">
      <c r="C2384" s="64"/>
      <c r="D2384" s="64"/>
      <c r="G2384" s="58"/>
      <c r="H2384" s="59"/>
      <c r="I2384" s="58"/>
      <c r="K2384" s="60"/>
    </row>
    <row r="2385" s="37" customFormat="1" ht="12.75" spans="1:11">
      <c r="C2385" s="64"/>
      <c r="D2385" s="64"/>
      <c r="G2385" s="58"/>
      <c r="H2385" s="59"/>
      <c r="I2385" s="58"/>
      <c r="K2385" s="60"/>
    </row>
    <row r="2386" s="37" customFormat="1" ht="12.75" spans="1:11">
      <c r="C2386" s="64"/>
      <c r="D2386" s="64"/>
      <c r="G2386" s="58"/>
      <c r="H2386" s="59"/>
      <c r="I2386" s="58"/>
      <c r="K2386" s="60"/>
    </row>
    <row r="2387" s="37" customFormat="1" ht="12.75" spans="1:11">
      <c r="C2387" s="64"/>
      <c r="D2387" s="64"/>
      <c r="G2387" s="58"/>
      <c r="H2387" s="59"/>
      <c r="I2387" s="58"/>
      <c r="K2387" s="60"/>
    </row>
    <row r="2388" s="37" customFormat="1" ht="12.75" spans="1:11">
      <c r="A2388" s="54"/>
      <c r="B2388" s="54"/>
      <c r="C2388" s="65"/>
      <c r="D2388" s="65"/>
      <c r="E2388" s="54"/>
      <c r="G2388" s="58"/>
      <c r="H2388" s="66"/>
      <c r="I2388" s="58"/>
      <c r="K2388" s="60"/>
    </row>
    <row r="2389" s="37" customFormat="1" ht="12.75" spans="1:11">
      <c r="A2389" s="54"/>
      <c r="B2389" s="54"/>
      <c r="C2389" s="65"/>
      <c r="D2389" s="65"/>
      <c r="E2389" s="54"/>
      <c r="G2389" s="58"/>
      <c r="H2389" s="66"/>
      <c r="I2389" s="58"/>
      <c r="K2389" s="60"/>
    </row>
    <row r="2390" s="37" customFormat="1" ht="12.75" spans="1:11">
      <c r="A2390" s="54"/>
      <c r="B2390" s="54"/>
      <c r="C2390" s="65"/>
      <c r="D2390" s="65"/>
      <c r="E2390" s="54"/>
      <c r="G2390" s="58"/>
      <c r="H2390" s="66"/>
      <c r="I2390" s="58"/>
      <c r="K2390" s="60"/>
    </row>
    <row r="2391" s="37" customFormat="1" ht="12.75" spans="1:11">
      <c r="C2391" s="64"/>
      <c r="D2391" s="64"/>
      <c r="G2391" s="58"/>
      <c r="H2391" s="59"/>
      <c r="I2391" s="58"/>
      <c r="K2391" s="60"/>
    </row>
    <row r="2392" s="37" customFormat="1" ht="12.75" spans="1:11">
      <c r="C2392" s="64"/>
      <c r="D2392" s="64"/>
      <c r="G2392" s="58"/>
      <c r="H2392" s="59"/>
      <c r="I2392" s="58"/>
      <c r="K2392" s="60"/>
    </row>
    <row r="2393" s="37" customFormat="1" ht="12.75" spans="1:11">
      <c r="C2393" s="64"/>
      <c r="D2393" s="64"/>
      <c r="G2393" s="58"/>
      <c r="H2393" s="59"/>
      <c r="I2393" s="58"/>
      <c r="K2393" s="60"/>
    </row>
    <row r="2394" s="37" customFormat="1" ht="12.75" spans="1:11">
      <c r="C2394" s="64"/>
      <c r="D2394" s="64"/>
      <c r="G2394" s="58"/>
      <c r="H2394" s="59"/>
      <c r="I2394" s="58"/>
      <c r="K2394" s="60"/>
    </row>
    <row r="2395" s="37" customFormat="1" ht="12.75" spans="1:11">
      <c r="C2395" s="64"/>
      <c r="D2395" s="64"/>
      <c r="G2395" s="58"/>
      <c r="H2395" s="59"/>
      <c r="I2395" s="58"/>
      <c r="K2395" s="60"/>
    </row>
    <row r="2396" s="37" customFormat="1" ht="12.75" spans="1:11">
      <c r="A2396" s="54"/>
      <c r="B2396" s="54"/>
      <c r="C2396" s="65"/>
      <c r="D2396" s="65"/>
      <c r="E2396" s="54"/>
      <c r="G2396" s="58"/>
      <c r="H2396" s="66"/>
      <c r="I2396" s="58"/>
      <c r="K2396" s="60"/>
    </row>
    <row r="2397" s="37" customFormat="1" ht="12.75" spans="1:11">
      <c r="A2397" s="54"/>
      <c r="B2397" s="54"/>
      <c r="C2397" s="65"/>
      <c r="D2397" s="65"/>
      <c r="E2397" s="54"/>
      <c r="G2397" s="58"/>
      <c r="H2397" s="66"/>
      <c r="I2397" s="58"/>
      <c r="K2397" s="60"/>
    </row>
    <row r="2398" s="37" customFormat="1" ht="12.75" spans="1:11">
      <c r="C2398" s="64"/>
      <c r="D2398" s="64"/>
      <c r="G2398" s="58"/>
      <c r="H2398" s="59"/>
      <c r="I2398" s="58"/>
      <c r="K2398" s="60"/>
    </row>
    <row r="2399" s="37" customFormat="1" ht="12.75" spans="1:11">
      <c r="C2399" s="64"/>
      <c r="D2399" s="64"/>
      <c r="G2399" s="58"/>
      <c r="H2399" s="59"/>
      <c r="I2399" s="58"/>
      <c r="K2399" s="60"/>
    </row>
    <row r="2400" s="37" customFormat="1" ht="12.75" spans="1:11">
      <c r="C2400" s="64"/>
      <c r="D2400" s="64"/>
      <c r="G2400" s="58"/>
      <c r="H2400" s="59"/>
      <c r="I2400" s="58"/>
      <c r="K2400" s="60"/>
    </row>
    <row r="2401" s="37" customFormat="1" ht="12.75" spans="1:14">
      <c r="C2401" s="64"/>
      <c r="D2401" s="64"/>
      <c r="G2401" s="58"/>
      <c r="H2401" s="59"/>
      <c r="I2401" s="58"/>
      <c r="K2401" s="60"/>
    </row>
    <row r="2402" s="37" customFormat="1" ht="12.75" spans="1:14">
      <c r="A2402" s="54"/>
      <c r="B2402" s="54"/>
      <c r="C2402" s="65"/>
      <c r="D2402" s="65"/>
      <c r="E2402" s="54"/>
      <c r="G2402" s="58"/>
      <c r="H2402" s="66"/>
      <c r="I2402" s="58"/>
      <c r="K2402" s="60"/>
    </row>
    <row r="2403" s="37" customFormat="1" ht="12.75" spans="1:14">
      <c r="A2403" s="54"/>
      <c r="B2403" s="54"/>
      <c r="C2403" s="65"/>
      <c r="D2403" s="65"/>
      <c r="E2403" s="54"/>
      <c r="G2403" s="58"/>
      <c r="H2403" s="66"/>
      <c r="I2403" s="58"/>
      <c r="K2403" s="60"/>
    </row>
    <row r="2404" s="37" customFormat="1" ht="12.75" spans="1:14">
      <c r="A2404" s="54"/>
      <c r="B2404" s="54"/>
      <c r="C2404" s="65"/>
      <c r="D2404" s="65"/>
      <c r="E2404" s="54"/>
      <c r="G2404" s="58"/>
      <c r="H2404" s="66"/>
      <c r="I2404" s="58"/>
      <c r="K2404" s="60"/>
    </row>
    <row r="2405" s="37" customFormat="1" ht="12.75" spans="1:14">
      <c r="C2405" s="64"/>
      <c r="D2405" s="64"/>
      <c r="G2405" s="58"/>
      <c r="H2405" s="59"/>
      <c r="I2405" s="58"/>
      <c r="K2405" s="60"/>
    </row>
    <row r="2406" s="37" customFormat="1" ht="12.75" spans="1:14">
      <c r="C2406" s="64"/>
      <c r="D2406" s="64"/>
      <c r="G2406" s="58"/>
      <c r="H2406" s="59"/>
      <c r="I2406" s="58"/>
      <c r="K2406" s="60"/>
    </row>
    <row r="2407" s="37" customFormat="1" ht="12.75" spans="1:14">
      <c r="C2407" s="64"/>
      <c r="D2407" s="64"/>
      <c r="G2407" s="58"/>
      <c r="H2407" s="59"/>
      <c r="I2407" s="58"/>
      <c r="K2407" s="60"/>
    </row>
    <row r="2408" s="37" customFormat="1" ht="12.75" spans="1:14">
      <c r="C2408" s="64"/>
      <c r="D2408" s="64"/>
      <c r="G2408" s="58"/>
      <c r="H2408" s="59"/>
      <c r="I2408" s="58"/>
      <c r="K2408" s="60"/>
    </row>
    <row r="2409" s="37" customFormat="1" ht="12.75" spans="1:14">
      <c r="C2409" s="64"/>
      <c r="D2409" s="64"/>
      <c r="G2409" s="58"/>
      <c r="H2409" s="59"/>
      <c r="I2409" s="58"/>
      <c r="K2409" s="60"/>
    </row>
    <row r="2410" s="37" customFormat="1" ht="12.75" spans="1:14">
      <c r="A2410" s="54"/>
      <c r="B2410" s="54"/>
      <c r="C2410" s="65"/>
      <c r="D2410" s="65"/>
      <c r="E2410" s="54"/>
      <c r="G2410" s="58"/>
      <c r="H2410" s="66"/>
      <c r="I2410" s="58"/>
      <c r="K2410" s="60"/>
    </row>
    <row r="2411" s="37" customFormat="1" ht="12.75" spans="1:14">
      <c r="A2411" s="54"/>
      <c r="B2411" s="54"/>
      <c r="C2411" s="65"/>
      <c r="D2411" s="65"/>
      <c r="E2411" s="54"/>
      <c r="G2411" s="58"/>
      <c r="H2411" s="66"/>
      <c r="I2411" s="58"/>
      <c r="K2411" s="60"/>
    </row>
    <row r="2412" s="37" customFormat="1" ht="12.75" spans="1:14">
      <c r="C2412" s="64"/>
      <c r="D2412" s="64"/>
      <c r="G2412" s="58"/>
      <c r="H2412" s="59"/>
      <c r="I2412" s="58"/>
      <c r="K2412" s="60"/>
    </row>
    <row r="2413" s="37" customFormat="1" ht="12.75" spans="1:14">
      <c r="C2413" s="64"/>
      <c r="D2413" s="64"/>
      <c r="G2413" s="58"/>
      <c r="H2413" s="59"/>
      <c r="I2413" s="58"/>
      <c r="K2413" s="60"/>
    </row>
    <row r="2414" s="37" customFormat="1" ht="12.75" spans="1:14">
      <c r="C2414" s="64"/>
      <c r="D2414" s="64"/>
      <c r="G2414" s="58"/>
      <c r="H2414" s="59"/>
      <c r="I2414" s="58"/>
      <c r="K2414" s="60"/>
    </row>
    <row r="2415" s="37" customFormat="1" ht="12.75" spans="1:14">
      <c r="C2415" s="64"/>
      <c r="D2415" s="64"/>
      <c r="G2415" s="58"/>
      <c r="H2415" s="59"/>
      <c r="I2415" s="58"/>
      <c r="J2415" s="55"/>
      <c r="K2415" s="80"/>
      <c r="L2415" s="55"/>
      <c r="M2415" s="55"/>
      <c r="N2415" s="55"/>
    </row>
    <row r="2416" s="37" customFormat="1" ht="12.75" spans="1:14">
      <c r="A2416" s="54"/>
      <c r="B2416" s="54"/>
      <c r="C2416" s="65"/>
      <c r="D2416" s="65"/>
      <c r="E2416" s="54"/>
      <c r="G2416" s="58"/>
      <c r="H2416" s="66"/>
      <c r="I2416" s="58"/>
      <c r="K2416" s="60"/>
    </row>
    <row r="2417" s="37" customFormat="1" ht="12.75" spans="1:11">
      <c r="A2417" s="54"/>
      <c r="B2417" s="54"/>
      <c r="C2417" s="65"/>
      <c r="D2417" s="65"/>
      <c r="E2417" s="54"/>
      <c r="G2417" s="58"/>
      <c r="H2417" s="66"/>
      <c r="I2417" s="58"/>
      <c r="K2417" s="60"/>
    </row>
    <row r="2418" s="37" customFormat="1" ht="12.75" spans="1:11">
      <c r="C2418" s="64"/>
      <c r="D2418" s="64"/>
      <c r="G2418" s="58"/>
      <c r="H2418" s="59"/>
      <c r="I2418" s="58"/>
      <c r="K2418" s="60"/>
    </row>
    <row r="2419" s="37" customFormat="1" ht="12.75" spans="1:11">
      <c r="C2419" s="64"/>
      <c r="D2419" s="64"/>
      <c r="G2419" s="58"/>
      <c r="H2419" s="59"/>
      <c r="I2419" s="58"/>
      <c r="K2419" s="60"/>
    </row>
    <row r="2420" s="37" customFormat="1" ht="12.75" spans="1:11">
      <c r="C2420" s="64"/>
      <c r="D2420" s="64"/>
      <c r="G2420" s="58"/>
      <c r="H2420" s="59"/>
      <c r="I2420" s="58"/>
      <c r="K2420" s="60"/>
    </row>
    <row r="2421" s="37" customFormat="1" ht="12.75" spans="1:11">
      <c r="C2421" s="64"/>
      <c r="D2421" s="64"/>
      <c r="G2421" s="58"/>
      <c r="H2421" s="59"/>
      <c r="I2421" s="58"/>
      <c r="K2421" s="60"/>
    </row>
    <row r="2422" s="37" customFormat="1" ht="12.75" spans="1:11">
      <c r="C2422" s="64"/>
      <c r="D2422" s="64"/>
      <c r="G2422" s="58"/>
      <c r="H2422" s="59"/>
      <c r="I2422" s="58"/>
      <c r="K2422" s="60"/>
    </row>
    <row r="2423" s="37" customFormat="1" ht="12.75" spans="1:11">
      <c r="A2423" s="54"/>
      <c r="B2423" s="54"/>
      <c r="C2423" s="65"/>
      <c r="D2423" s="65"/>
      <c r="E2423" s="54"/>
      <c r="G2423" s="58"/>
      <c r="H2423" s="66"/>
      <c r="I2423" s="58"/>
      <c r="K2423" s="60"/>
    </row>
    <row r="2424" s="37" customFormat="1" ht="12.75" spans="1:11">
      <c r="A2424" s="54"/>
      <c r="B2424" s="54"/>
      <c r="C2424" s="65"/>
      <c r="D2424" s="65"/>
      <c r="E2424" s="54"/>
      <c r="G2424" s="58"/>
      <c r="H2424" s="66"/>
      <c r="I2424" s="58"/>
      <c r="K2424" s="60"/>
    </row>
    <row r="2425" s="37" customFormat="1" ht="12.75" spans="1:11">
      <c r="C2425" s="64"/>
      <c r="D2425" s="64"/>
      <c r="G2425" s="58"/>
      <c r="H2425" s="59"/>
      <c r="I2425" s="58"/>
      <c r="K2425" s="60"/>
    </row>
    <row r="2426" s="37" customFormat="1" ht="12.75" spans="1:11">
      <c r="C2426" s="64"/>
      <c r="D2426" s="64"/>
      <c r="G2426" s="58"/>
      <c r="H2426" s="59"/>
      <c r="I2426" s="58"/>
      <c r="K2426" s="60"/>
    </row>
    <row r="2427" s="37" customFormat="1" ht="12.75" spans="1:11">
      <c r="C2427" s="64"/>
      <c r="D2427" s="64"/>
      <c r="G2427" s="58"/>
      <c r="H2427" s="59"/>
      <c r="I2427" s="58"/>
      <c r="K2427" s="60"/>
    </row>
    <row r="2428" s="37" customFormat="1" ht="12.75" spans="1:11">
      <c r="C2428" s="64"/>
      <c r="D2428" s="64"/>
      <c r="G2428" s="58"/>
      <c r="H2428" s="59"/>
      <c r="I2428" s="58"/>
      <c r="K2428" s="60"/>
    </row>
    <row r="2429" s="37" customFormat="1" ht="12.75" spans="1:11">
      <c r="A2429" s="54"/>
      <c r="B2429" s="54"/>
      <c r="C2429" s="65"/>
      <c r="D2429" s="65"/>
      <c r="E2429" s="54"/>
      <c r="G2429" s="58"/>
      <c r="H2429" s="66"/>
      <c r="I2429" s="58"/>
      <c r="K2429" s="60"/>
    </row>
    <row r="2430" s="37" customFormat="1" ht="12.75" spans="1:11">
      <c r="A2430" s="54"/>
      <c r="B2430" s="54"/>
      <c r="C2430" s="65"/>
      <c r="D2430" s="65"/>
      <c r="E2430" s="54"/>
      <c r="G2430" s="58"/>
      <c r="H2430" s="66"/>
      <c r="I2430" s="58"/>
      <c r="K2430" s="60"/>
    </row>
    <row r="2431" s="37" customFormat="1" ht="12.75" spans="1:11">
      <c r="A2431" s="54"/>
      <c r="B2431" s="54"/>
      <c r="C2431" s="65"/>
      <c r="D2431" s="65"/>
      <c r="E2431" s="54"/>
      <c r="G2431" s="58"/>
      <c r="H2431" s="66"/>
      <c r="I2431" s="58"/>
      <c r="K2431" s="60"/>
    </row>
    <row r="2432" s="37" customFormat="1" ht="12.75" spans="1:11">
      <c r="C2432" s="64"/>
      <c r="D2432" s="64"/>
      <c r="G2432" s="58"/>
      <c r="H2432" s="59"/>
      <c r="I2432" s="58"/>
      <c r="K2432" s="60"/>
    </row>
    <row r="2433" s="37" customFormat="1" ht="12.75" spans="1:11">
      <c r="C2433" s="64"/>
      <c r="D2433" s="64"/>
      <c r="G2433" s="58"/>
      <c r="H2433" s="59"/>
      <c r="I2433" s="58"/>
      <c r="K2433" s="60"/>
    </row>
    <row r="2434" s="37" customFormat="1" ht="12.75" spans="1:11">
      <c r="C2434" s="64"/>
      <c r="D2434" s="64"/>
      <c r="G2434" s="58"/>
      <c r="H2434" s="59"/>
      <c r="I2434" s="58"/>
      <c r="K2434" s="60"/>
    </row>
    <row r="2435" s="37" customFormat="1" ht="12.75" spans="1:11">
      <c r="C2435" s="64"/>
      <c r="D2435" s="64"/>
      <c r="G2435" s="58"/>
      <c r="H2435" s="59"/>
      <c r="I2435" s="58"/>
      <c r="K2435" s="60"/>
    </row>
    <row r="2436" s="37" customFormat="1" ht="12.75" spans="1:11">
      <c r="C2436" s="64"/>
      <c r="D2436" s="64"/>
      <c r="G2436" s="58"/>
      <c r="H2436" s="59"/>
      <c r="I2436" s="58"/>
      <c r="K2436" s="60"/>
    </row>
    <row r="2437" s="37" customFormat="1" ht="12.75" spans="1:11">
      <c r="A2437" s="54"/>
      <c r="B2437" s="54"/>
      <c r="C2437" s="65"/>
      <c r="D2437" s="65"/>
      <c r="E2437" s="54"/>
      <c r="G2437" s="58"/>
      <c r="H2437" s="66"/>
      <c r="I2437" s="58"/>
      <c r="K2437" s="60"/>
    </row>
    <row r="2438" s="37" customFormat="1" ht="12.75" spans="1:11">
      <c r="A2438" s="54"/>
      <c r="B2438" s="54"/>
      <c r="C2438" s="65"/>
      <c r="D2438" s="65"/>
      <c r="E2438" s="54"/>
      <c r="G2438" s="58"/>
      <c r="H2438" s="66"/>
      <c r="I2438" s="58"/>
      <c r="K2438" s="60"/>
    </row>
    <row r="2439" s="37" customFormat="1" ht="12.75" spans="1:11">
      <c r="C2439" s="64"/>
      <c r="D2439" s="64"/>
      <c r="G2439" s="58"/>
      <c r="H2439" s="59"/>
      <c r="I2439" s="58"/>
      <c r="K2439" s="60"/>
    </row>
    <row r="2440" s="37" customFormat="1" ht="12.75" spans="1:11">
      <c r="C2440" s="64"/>
      <c r="D2440" s="64"/>
      <c r="G2440" s="58"/>
      <c r="H2440" s="59"/>
      <c r="I2440" s="58"/>
      <c r="K2440" s="60"/>
    </row>
    <row r="2441" s="37" customFormat="1" ht="12.75" spans="1:11">
      <c r="C2441" s="64"/>
      <c r="D2441" s="64"/>
      <c r="G2441" s="58"/>
      <c r="H2441" s="59"/>
      <c r="I2441" s="58"/>
      <c r="K2441" s="60"/>
    </row>
    <row r="2442" s="37" customFormat="1" ht="12.75" spans="1:11">
      <c r="C2442" s="64"/>
      <c r="D2442" s="64"/>
      <c r="G2442" s="58"/>
      <c r="H2442" s="59"/>
      <c r="I2442" s="58"/>
      <c r="K2442" s="60"/>
    </row>
    <row r="2443" s="37" customFormat="1" ht="12.75" spans="1:11">
      <c r="C2443" s="64"/>
      <c r="D2443" s="64"/>
      <c r="G2443" s="58"/>
      <c r="H2443" s="59"/>
      <c r="I2443" s="58"/>
      <c r="K2443" s="60"/>
    </row>
    <row r="2444" s="37" customFormat="1" ht="12.75" spans="1:11">
      <c r="C2444" s="64"/>
      <c r="D2444" s="64"/>
      <c r="G2444" s="58"/>
      <c r="H2444" s="59"/>
      <c r="I2444" s="58"/>
      <c r="K2444" s="60"/>
    </row>
    <row r="2445" s="37" customFormat="1" ht="12.75" spans="1:11">
      <c r="C2445" s="64"/>
      <c r="D2445" s="64"/>
      <c r="G2445" s="58"/>
      <c r="H2445" s="59"/>
      <c r="I2445" s="58"/>
      <c r="K2445" s="60"/>
    </row>
    <row r="2446" s="37" customFormat="1" ht="12.75" spans="1:11">
      <c r="C2446" s="64"/>
      <c r="D2446" s="64"/>
      <c r="G2446" s="58"/>
      <c r="H2446" s="59"/>
      <c r="I2446" s="58"/>
      <c r="K2446" s="60"/>
    </row>
    <row r="2447" s="37" customFormat="1" ht="12.75" spans="1:11">
      <c r="C2447" s="64"/>
      <c r="D2447" s="64"/>
      <c r="G2447" s="58"/>
      <c r="H2447" s="59"/>
      <c r="I2447" s="58"/>
      <c r="K2447" s="60"/>
    </row>
    <row r="2448" s="37" customFormat="1" ht="12.75" spans="1:11">
      <c r="C2448" s="64"/>
      <c r="D2448" s="64"/>
      <c r="G2448" s="58"/>
      <c r="H2448" s="59"/>
      <c r="I2448" s="58"/>
      <c r="K2448" s="60"/>
    </row>
    <row r="2449" s="37" customFormat="1" ht="12.75" spans="1:11">
      <c r="C2449" s="64"/>
      <c r="D2449" s="64"/>
      <c r="G2449" s="58"/>
      <c r="H2449" s="59"/>
      <c r="I2449" s="58"/>
      <c r="K2449" s="60"/>
    </row>
    <row r="2450" s="37" customFormat="1" ht="12.75" spans="1:11">
      <c r="C2450" s="64"/>
      <c r="D2450" s="64"/>
      <c r="G2450" s="58"/>
      <c r="H2450" s="59"/>
      <c r="I2450" s="58"/>
      <c r="K2450" s="60"/>
    </row>
    <row r="2451" s="37" customFormat="1" ht="12.75" spans="1:11">
      <c r="C2451" s="64"/>
      <c r="D2451" s="64"/>
      <c r="G2451" s="58"/>
      <c r="H2451" s="59"/>
      <c r="I2451" s="58"/>
      <c r="K2451" s="60"/>
    </row>
    <row r="2452" s="37" customFormat="1" ht="12.75" spans="1:11">
      <c r="C2452" s="64"/>
      <c r="D2452" s="64"/>
      <c r="G2452" s="58"/>
      <c r="H2452" s="59"/>
      <c r="I2452" s="58"/>
      <c r="K2452" s="60"/>
    </row>
    <row r="2453" s="37" customFormat="1" ht="12.75" spans="1:11">
      <c r="A2453" s="54"/>
      <c r="B2453" s="54"/>
      <c r="C2453" s="65"/>
      <c r="D2453" s="65"/>
      <c r="E2453" s="54"/>
      <c r="G2453" s="58"/>
      <c r="H2453" s="66"/>
      <c r="I2453" s="58"/>
      <c r="K2453" s="60"/>
    </row>
    <row r="2454" s="37" customFormat="1" ht="12.75" spans="1:11">
      <c r="A2454" s="54"/>
      <c r="B2454" s="54"/>
      <c r="C2454" s="65"/>
      <c r="D2454" s="65"/>
      <c r="E2454" s="54"/>
      <c r="G2454" s="58"/>
      <c r="H2454" s="66"/>
      <c r="I2454" s="58"/>
      <c r="K2454" s="60"/>
    </row>
    <row r="2455" s="37" customFormat="1" ht="12.75" spans="1:11">
      <c r="A2455" s="54"/>
      <c r="B2455" s="54"/>
      <c r="C2455" s="65"/>
      <c r="D2455" s="65"/>
      <c r="E2455" s="54"/>
      <c r="G2455" s="58"/>
      <c r="H2455" s="66"/>
      <c r="I2455" s="58"/>
      <c r="K2455" s="60"/>
    </row>
    <row r="2456" s="37" customFormat="1" ht="12.75" spans="1:11">
      <c r="C2456" s="64"/>
      <c r="D2456" s="64"/>
      <c r="G2456" s="58"/>
      <c r="H2456" s="59"/>
      <c r="I2456" s="58"/>
      <c r="K2456" s="60"/>
    </row>
    <row r="2457" s="37" customFormat="1" ht="12.75" spans="1:11">
      <c r="C2457" s="64"/>
      <c r="D2457" s="64"/>
      <c r="G2457" s="58"/>
      <c r="H2457" s="59"/>
      <c r="I2457" s="58"/>
      <c r="K2457" s="60"/>
    </row>
    <row r="2458" s="37" customFormat="1" ht="12.75" spans="1:11">
      <c r="C2458" s="64"/>
      <c r="D2458" s="64"/>
      <c r="G2458" s="58"/>
      <c r="H2458" s="59"/>
      <c r="I2458" s="58"/>
      <c r="K2458" s="60"/>
    </row>
    <row r="2459" s="37" customFormat="1" ht="12.75" spans="1:11">
      <c r="C2459" s="64"/>
      <c r="D2459" s="64"/>
      <c r="G2459" s="58"/>
      <c r="H2459" s="59"/>
      <c r="I2459" s="58"/>
      <c r="K2459" s="60"/>
    </row>
    <row r="2460" s="37" customFormat="1" ht="12.75" spans="1:11">
      <c r="C2460" s="64"/>
      <c r="D2460" s="64"/>
      <c r="G2460" s="58"/>
      <c r="H2460" s="59"/>
      <c r="I2460" s="58"/>
      <c r="K2460" s="60"/>
    </row>
    <row r="2461" s="37" customFormat="1" ht="12.75" spans="1:11">
      <c r="A2461" s="54"/>
      <c r="B2461" s="54"/>
      <c r="C2461" s="65"/>
      <c r="D2461" s="65"/>
      <c r="E2461" s="54"/>
      <c r="G2461" s="58"/>
      <c r="H2461" s="66"/>
      <c r="I2461" s="58"/>
      <c r="K2461" s="60"/>
    </row>
    <row r="2462" s="37" customFormat="1" ht="12.75" spans="1:11">
      <c r="A2462" s="54"/>
      <c r="B2462" s="54"/>
      <c r="C2462" s="65"/>
      <c r="D2462" s="65"/>
      <c r="E2462" s="54"/>
      <c r="G2462" s="58"/>
      <c r="H2462" s="66"/>
      <c r="I2462" s="58"/>
      <c r="K2462" s="60"/>
    </row>
    <row r="2463" s="37" customFormat="1" ht="12.75" spans="1:11">
      <c r="A2463" s="54"/>
      <c r="B2463" s="54"/>
      <c r="C2463" s="65"/>
      <c r="D2463" s="65"/>
      <c r="E2463" s="54"/>
      <c r="G2463" s="58"/>
      <c r="H2463" s="66"/>
      <c r="I2463" s="58"/>
      <c r="K2463" s="60"/>
    </row>
    <row r="2464" s="37" customFormat="1" ht="12.75" spans="1:11">
      <c r="A2464" s="54"/>
      <c r="B2464" s="54"/>
      <c r="C2464" s="65"/>
      <c r="D2464" s="65"/>
      <c r="E2464" s="54"/>
      <c r="G2464" s="58"/>
      <c r="H2464" s="66"/>
      <c r="I2464" s="58"/>
      <c r="K2464" s="60"/>
    </row>
    <row r="2465" s="37" customFormat="1" ht="12.75" spans="1:11">
      <c r="C2465" s="64"/>
      <c r="D2465" s="64"/>
      <c r="G2465" s="58"/>
      <c r="H2465" s="59"/>
      <c r="I2465" s="58"/>
      <c r="K2465" s="60"/>
    </row>
    <row r="2466" s="37" customFormat="1" ht="12.75" spans="1:11">
      <c r="C2466" s="64"/>
      <c r="D2466" s="64"/>
      <c r="G2466" s="58"/>
      <c r="H2466" s="59"/>
      <c r="I2466" s="58"/>
      <c r="K2466" s="60"/>
    </row>
    <row r="2467" s="37" customFormat="1" ht="12.75" spans="1:11">
      <c r="C2467" s="64"/>
      <c r="D2467" s="64"/>
      <c r="G2467" s="58"/>
      <c r="H2467" s="59"/>
      <c r="I2467" s="58"/>
      <c r="K2467" s="60"/>
    </row>
    <row r="2468" s="37" customFormat="1" ht="12.75" spans="1:11">
      <c r="C2468" s="64"/>
      <c r="D2468" s="64"/>
      <c r="G2468" s="58"/>
      <c r="H2468" s="59"/>
      <c r="I2468" s="58"/>
      <c r="K2468" s="60"/>
    </row>
    <row r="2469" s="37" customFormat="1" ht="12.75" spans="1:11">
      <c r="A2469" s="54"/>
      <c r="B2469" s="54"/>
      <c r="C2469" s="65"/>
      <c r="D2469" s="65"/>
      <c r="E2469" s="54"/>
      <c r="G2469" s="58"/>
      <c r="H2469" s="66"/>
      <c r="I2469" s="58"/>
      <c r="K2469" s="60"/>
    </row>
    <row r="2470" s="37" customFormat="1" ht="12.75" spans="1:11">
      <c r="A2470" s="54"/>
      <c r="B2470" s="54"/>
      <c r="C2470" s="65"/>
      <c r="D2470" s="65"/>
      <c r="E2470" s="54"/>
      <c r="G2470" s="58"/>
      <c r="H2470" s="66"/>
      <c r="I2470" s="58"/>
      <c r="K2470" s="60"/>
    </row>
    <row r="2471" s="37" customFormat="1" ht="12.75" spans="1:11">
      <c r="A2471" s="54"/>
      <c r="B2471" s="54"/>
      <c r="C2471" s="65"/>
      <c r="D2471" s="65"/>
      <c r="E2471" s="54"/>
      <c r="G2471" s="58"/>
      <c r="H2471" s="66"/>
      <c r="I2471" s="58"/>
      <c r="K2471" s="60"/>
    </row>
    <row r="2472" s="37" customFormat="1" ht="12.75" spans="1:11">
      <c r="A2472" s="54"/>
      <c r="B2472" s="54"/>
      <c r="C2472" s="65"/>
      <c r="D2472" s="65"/>
      <c r="E2472" s="54"/>
      <c r="G2472" s="58"/>
      <c r="H2472" s="66"/>
      <c r="I2472" s="58"/>
      <c r="K2472" s="60"/>
    </row>
    <row r="2473" s="37" customFormat="1" ht="12.75" spans="1:11">
      <c r="A2473" s="54"/>
      <c r="B2473" s="54"/>
      <c r="C2473" s="65"/>
      <c r="D2473" s="65"/>
      <c r="E2473" s="54"/>
      <c r="G2473" s="58"/>
      <c r="H2473" s="66"/>
      <c r="I2473" s="58"/>
      <c r="K2473" s="60"/>
    </row>
    <row r="2474" s="37" customFormat="1" ht="12.75" spans="1:11">
      <c r="C2474" s="64"/>
      <c r="D2474" s="64"/>
      <c r="G2474" s="58"/>
      <c r="H2474" s="59"/>
      <c r="I2474" s="58"/>
      <c r="K2474" s="60"/>
    </row>
    <row r="2475" s="37" customFormat="1" ht="12.75" spans="1:11">
      <c r="C2475" s="64"/>
      <c r="D2475" s="64"/>
      <c r="G2475" s="58"/>
      <c r="H2475" s="59"/>
      <c r="I2475" s="58"/>
      <c r="K2475" s="60"/>
    </row>
    <row r="2476" s="37" customFormat="1" ht="12.75" spans="1:11">
      <c r="C2476" s="64"/>
      <c r="D2476" s="64"/>
      <c r="G2476" s="58"/>
      <c r="H2476" s="59"/>
      <c r="I2476" s="58"/>
      <c r="K2476" s="60"/>
    </row>
    <row r="2477" s="37" customFormat="1" ht="12.75" spans="1:11">
      <c r="C2477" s="64"/>
      <c r="D2477" s="64"/>
      <c r="G2477" s="58"/>
      <c r="H2477" s="59"/>
      <c r="I2477" s="58"/>
      <c r="K2477" s="60"/>
    </row>
    <row r="2478" s="37" customFormat="1" ht="12.75" spans="1:11">
      <c r="C2478" s="64"/>
      <c r="D2478" s="64"/>
      <c r="G2478" s="58"/>
      <c r="H2478" s="59"/>
      <c r="I2478" s="58"/>
      <c r="K2478" s="60"/>
    </row>
    <row r="2479" s="37" customFormat="1" ht="12.75" spans="1:11">
      <c r="C2479" s="64"/>
      <c r="D2479" s="64"/>
      <c r="G2479" s="58"/>
      <c r="H2479" s="59"/>
      <c r="I2479" s="58"/>
      <c r="K2479" s="60"/>
    </row>
    <row r="2480" s="37" customFormat="1" ht="12.75" spans="1:11">
      <c r="A2480" s="54"/>
      <c r="B2480" s="54"/>
      <c r="C2480" s="65"/>
      <c r="D2480" s="65"/>
      <c r="E2480" s="54"/>
      <c r="G2480" s="58"/>
      <c r="H2480" s="66"/>
      <c r="I2480" s="58"/>
      <c r="K2480" s="60"/>
    </row>
    <row r="2481" s="37" customFormat="1" ht="12.75" spans="1:11">
      <c r="A2481" s="54"/>
      <c r="B2481" s="54"/>
      <c r="C2481" s="65"/>
      <c r="D2481" s="65"/>
      <c r="E2481" s="54"/>
      <c r="G2481" s="58"/>
      <c r="H2481" s="66"/>
      <c r="I2481" s="58"/>
      <c r="K2481" s="60"/>
    </row>
    <row r="2482" s="37" customFormat="1" ht="12.75" spans="1:11">
      <c r="C2482" s="64"/>
      <c r="D2482" s="64"/>
      <c r="G2482" s="58"/>
      <c r="H2482" s="59"/>
      <c r="I2482" s="58"/>
      <c r="K2482" s="60"/>
    </row>
    <row r="2483" s="37" customFormat="1" ht="12.75" spans="1:11">
      <c r="C2483" s="64"/>
      <c r="D2483" s="64"/>
      <c r="G2483" s="58"/>
      <c r="H2483" s="59"/>
      <c r="I2483" s="58"/>
      <c r="K2483" s="60"/>
    </row>
    <row r="2484" s="37" customFormat="1" ht="12.75" spans="1:11">
      <c r="C2484" s="64"/>
      <c r="D2484" s="64"/>
      <c r="G2484" s="58"/>
      <c r="H2484" s="59"/>
      <c r="I2484" s="58"/>
      <c r="K2484" s="60"/>
    </row>
    <row r="2485" s="37" customFormat="1" ht="12.75" spans="1:11">
      <c r="C2485" s="64"/>
      <c r="D2485" s="64"/>
      <c r="G2485" s="58"/>
      <c r="H2485" s="59"/>
      <c r="I2485" s="58"/>
      <c r="K2485" s="60"/>
    </row>
    <row r="2486" s="37" customFormat="1" ht="12.75" spans="1:11">
      <c r="A2486" s="54"/>
      <c r="B2486" s="54"/>
      <c r="C2486" s="65"/>
      <c r="D2486" s="65"/>
      <c r="E2486" s="54"/>
      <c r="G2486" s="58"/>
      <c r="H2486" s="66"/>
      <c r="I2486" s="58"/>
      <c r="K2486" s="60"/>
    </row>
    <row r="2487" s="37" customFormat="1" ht="12.75" spans="1:11">
      <c r="A2487" s="54"/>
      <c r="B2487" s="54"/>
      <c r="C2487" s="65"/>
      <c r="D2487" s="65"/>
      <c r="E2487" s="54"/>
      <c r="G2487" s="58"/>
      <c r="H2487" s="66"/>
      <c r="I2487" s="58"/>
      <c r="K2487" s="60"/>
    </row>
    <row r="2488" s="37" customFormat="1" ht="12.75" spans="1:11">
      <c r="C2488" s="64"/>
      <c r="D2488" s="64"/>
      <c r="G2488" s="58"/>
      <c r="H2488" s="59"/>
      <c r="I2488" s="58"/>
      <c r="K2488" s="60"/>
    </row>
    <row r="2489" s="37" customFormat="1" ht="12.75" spans="1:11">
      <c r="C2489" s="64"/>
      <c r="D2489" s="64"/>
      <c r="G2489" s="58"/>
      <c r="H2489" s="59"/>
      <c r="I2489" s="58"/>
      <c r="K2489" s="60"/>
    </row>
    <row r="2490" s="37" customFormat="1" ht="12.75" spans="1:11">
      <c r="C2490" s="64"/>
      <c r="D2490" s="64"/>
      <c r="G2490" s="58"/>
      <c r="H2490" s="59"/>
      <c r="I2490" s="58"/>
      <c r="K2490" s="60"/>
    </row>
    <row r="2491" s="37" customFormat="1" ht="12.75" spans="1:11">
      <c r="C2491" s="64"/>
      <c r="D2491" s="64"/>
      <c r="G2491" s="58"/>
      <c r="H2491" s="59"/>
      <c r="I2491" s="58"/>
      <c r="K2491" s="60"/>
    </row>
    <row r="2492" s="37" customFormat="1" ht="12.75" spans="1:11">
      <c r="C2492" s="64"/>
      <c r="D2492" s="64"/>
      <c r="G2492" s="58"/>
      <c r="H2492" s="59"/>
      <c r="I2492" s="58"/>
      <c r="K2492" s="60"/>
    </row>
    <row r="2493" s="37" customFormat="1" ht="12.75" spans="1:11">
      <c r="A2493" s="54"/>
      <c r="B2493" s="54"/>
      <c r="C2493" s="65"/>
      <c r="D2493" s="65"/>
      <c r="E2493" s="54"/>
      <c r="G2493" s="58"/>
      <c r="H2493" s="66"/>
      <c r="I2493" s="58"/>
      <c r="K2493" s="60"/>
    </row>
    <row r="2494" s="37" customFormat="1" ht="12.75" spans="1:11">
      <c r="A2494" s="54"/>
      <c r="B2494" s="54"/>
      <c r="C2494" s="65"/>
      <c r="D2494" s="65"/>
      <c r="E2494" s="54"/>
      <c r="G2494" s="58"/>
      <c r="H2494" s="66"/>
      <c r="I2494" s="58"/>
      <c r="K2494" s="60"/>
    </row>
    <row r="2495" s="37" customFormat="1" ht="12.75" spans="1:11">
      <c r="A2495" s="54"/>
      <c r="B2495" s="54"/>
      <c r="C2495" s="65"/>
      <c r="D2495" s="65"/>
      <c r="E2495" s="54"/>
      <c r="G2495" s="58"/>
      <c r="H2495" s="66"/>
      <c r="I2495" s="58"/>
      <c r="K2495" s="60"/>
    </row>
    <row r="2496" s="37" customFormat="1" ht="12.75" spans="1:11">
      <c r="C2496" s="64"/>
      <c r="D2496" s="64"/>
      <c r="G2496" s="58"/>
      <c r="H2496" s="59"/>
      <c r="I2496" s="58"/>
      <c r="K2496" s="60"/>
    </row>
    <row r="2497" s="37" customFormat="1" ht="12.75" spans="1:11">
      <c r="C2497" s="64"/>
      <c r="D2497" s="64"/>
      <c r="G2497" s="58"/>
      <c r="H2497" s="59"/>
      <c r="I2497" s="58"/>
      <c r="K2497" s="60"/>
    </row>
    <row r="2498" s="37" customFormat="1" ht="12.75" spans="1:11">
      <c r="C2498" s="64"/>
      <c r="D2498" s="64"/>
      <c r="G2498" s="58"/>
      <c r="H2498" s="59"/>
      <c r="I2498" s="58"/>
      <c r="K2498" s="60"/>
    </row>
    <row r="2499" s="37" customFormat="1" ht="12.75" spans="1:11">
      <c r="C2499" s="64"/>
      <c r="D2499" s="64"/>
      <c r="G2499" s="58"/>
      <c r="H2499" s="59"/>
      <c r="I2499" s="58"/>
      <c r="K2499" s="60"/>
    </row>
    <row r="2500" s="37" customFormat="1" ht="12.75" spans="1:11">
      <c r="A2500" s="54"/>
      <c r="B2500" s="54"/>
      <c r="C2500" s="65"/>
      <c r="D2500" s="65"/>
      <c r="E2500" s="54"/>
      <c r="G2500" s="58"/>
      <c r="H2500" s="66"/>
      <c r="I2500" s="58"/>
      <c r="K2500" s="60"/>
    </row>
    <row r="2501" s="37" customFormat="1" ht="12.75" spans="1:11">
      <c r="A2501" s="54"/>
      <c r="B2501" s="54"/>
      <c r="C2501" s="65"/>
      <c r="D2501" s="65"/>
      <c r="E2501" s="54"/>
      <c r="G2501" s="58"/>
      <c r="H2501" s="66"/>
      <c r="I2501" s="58"/>
      <c r="K2501" s="60"/>
    </row>
    <row r="2502" s="37" customFormat="1" ht="12.75" spans="1:11">
      <c r="C2502" s="64"/>
      <c r="D2502" s="64"/>
      <c r="G2502" s="58"/>
      <c r="H2502" s="59"/>
      <c r="I2502" s="58"/>
      <c r="K2502" s="60"/>
    </row>
    <row r="2503" s="37" customFormat="1" ht="12.75" spans="1:11">
      <c r="C2503" s="64"/>
      <c r="D2503" s="64"/>
      <c r="G2503" s="58"/>
      <c r="H2503" s="59"/>
      <c r="I2503" s="58"/>
      <c r="K2503" s="60"/>
    </row>
    <row r="2504" s="37" customFormat="1" ht="12.75" spans="1:11">
      <c r="C2504" s="64"/>
      <c r="D2504" s="64"/>
      <c r="G2504" s="58"/>
      <c r="H2504" s="59"/>
      <c r="I2504" s="58"/>
      <c r="K2504" s="60"/>
    </row>
    <row r="2505" s="37" customFormat="1" ht="12.75" spans="1:11">
      <c r="C2505" s="64"/>
      <c r="D2505" s="64"/>
      <c r="G2505" s="58"/>
      <c r="H2505" s="59"/>
      <c r="I2505" s="58"/>
      <c r="K2505" s="60"/>
    </row>
    <row r="2506" s="37" customFormat="1" ht="12.75" spans="1:11">
      <c r="A2506" s="54"/>
      <c r="B2506" s="54"/>
      <c r="C2506" s="65"/>
      <c r="D2506" s="65"/>
      <c r="E2506" s="54"/>
      <c r="G2506" s="58"/>
      <c r="H2506" s="66"/>
      <c r="I2506" s="58"/>
      <c r="K2506" s="60"/>
    </row>
    <row r="2507" s="37" customFormat="1" ht="12.75" spans="1:11">
      <c r="A2507" s="54"/>
      <c r="B2507" s="54"/>
      <c r="C2507" s="65"/>
      <c r="D2507" s="65"/>
      <c r="E2507" s="54"/>
      <c r="G2507" s="58"/>
      <c r="H2507" s="66"/>
      <c r="I2507" s="58"/>
      <c r="K2507" s="60"/>
    </row>
    <row r="2508" s="37" customFormat="1" ht="12.75" spans="1:11">
      <c r="A2508" s="54"/>
      <c r="B2508" s="54"/>
      <c r="C2508" s="65"/>
      <c r="D2508" s="65"/>
      <c r="E2508" s="54"/>
      <c r="G2508" s="58"/>
      <c r="H2508" s="66"/>
      <c r="I2508" s="58"/>
      <c r="K2508" s="60"/>
    </row>
    <row r="2509" s="37" customFormat="1" ht="12.75" spans="1:11">
      <c r="C2509" s="64"/>
      <c r="D2509" s="64"/>
      <c r="G2509" s="58"/>
      <c r="H2509" s="59"/>
      <c r="I2509" s="58"/>
      <c r="K2509" s="60"/>
    </row>
    <row r="2510" s="37" customFormat="1" ht="12.75" spans="1:11">
      <c r="C2510" s="64"/>
      <c r="D2510" s="64"/>
      <c r="G2510" s="58"/>
      <c r="H2510" s="59"/>
      <c r="I2510" s="58"/>
      <c r="K2510" s="60"/>
    </row>
    <row r="2511" s="37" customFormat="1" ht="12.75" spans="1:11">
      <c r="C2511" s="64"/>
      <c r="D2511" s="64"/>
      <c r="G2511" s="58"/>
      <c r="H2511" s="59"/>
      <c r="I2511" s="58"/>
      <c r="K2511" s="60"/>
    </row>
    <row r="2512" s="37" customFormat="1" ht="12.75" spans="1:11">
      <c r="C2512" s="64"/>
      <c r="D2512" s="64"/>
      <c r="G2512" s="58"/>
      <c r="H2512" s="59"/>
      <c r="I2512" s="58"/>
      <c r="K2512" s="60"/>
    </row>
    <row r="2513" s="37" customFormat="1" ht="12.75" spans="1:11">
      <c r="A2513" s="54"/>
      <c r="B2513" s="54"/>
      <c r="C2513" s="65"/>
      <c r="D2513" s="65"/>
      <c r="E2513" s="54"/>
      <c r="G2513" s="58"/>
      <c r="H2513" s="66"/>
      <c r="I2513" s="58"/>
      <c r="K2513" s="60"/>
    </row>
    <row r="2514" s="37" customFormat="1" ht="12.75" spans="1:11">
      <c r="A2514" s="54"/>
      <c r="B2514" s="54"/>
      <c r="C2514" s="65"/>
      <c r="D2514" s="65"/>
      <c r="E2514" s="54"/>
      <c r="G2514" s="58"/>
      <c r="H2514" s="66"/>
      <c r="I2514" s="58"/>
      <c r="K2514" s="60"/>
    </row>
    <row r="2515" s="37" customFormat="1" ht="12.75" spans="1:11">
      <c r="A2515" s="54"/>
      <c r="B2515" s="54"/>
      <c r="C2515" s="65"/>
      <c r="D2515" s="65"/>
      <c r="E2515" s="54"/>
      <c r="G2515" s="58"/>
      <c r="H2515" s="66"/>
      <c r="I2515" s="58"/>
      <c r="K2515" s="60"/>
    </row>
    <row r="2516" s="37" customFormat="1" ht="12.75" spans="1:11">
      <c r="C2516" s="64"/>
      <c r="D2516" s="64"/>
      <c r="G2516" s="58"/>
      <c r="H2516" s="59"/>
      <c r="I2516" s="58"/>
      <c r="K2516" s="60"/>
    </row>
    <row r="2517" s="37" customFormat="1" ht="12.75" spans="1:11">
      <c r="C2517" s="64"/>
      <c r="D2517" s="64"/>
      <c r="G2517" s="58"/>
      <c r="H2517" s="59"/>
      <c r="I2517" s="58"/>
      <c r="K2517" s="60"/>
    </row>
    <row r="2518" s="37" customFormat="1" ht="12.75" spans="1:11">
      <c r="C2518" s="64"/>
      <c r="D2518" s="64"/>
      <c r="G2518" s="58"/>
      <c r="H2518" s="59"/>
      <c r="I2518" s="58"/>
      <c r="K2518" s="60"/>
    </row>
    <row r="2519" s="37" customFormat="1" ht="12.75" spans="1:11">
      <c r="C2519" s="64"/>
      <c r="D2519" s="64"/>
      <c r="G2519" s="58"/>
      <c r="H2519" s="59"/>
      <c r="I2519" s="58"/>
      <c r="K2519" s="60"/>
    </row>
    <row r="2520" s="37" customFormat="1" ht="12.75" spans="1:11">
      <c r="C2520" s="64"/>
      <c r="D2520" s="64"/>
      <c r="G2520" s="58"/>
      <c r="H2520" s="59"/>
      <c r="I2520" s="58"/>
      <c r="K2520" s="60"/>
    </row>
    <row r="2521" s="37" customFormat="1" ht="12.75" spans="1:11">
      <c r="A2521" s="54"/>
      <c r="B2521" s="54"/>
      <c r="C2521" s="65"/>
      <c r="D2521" s="65"/>
      <c r="E2521" s="54"/>
      <c r="G2521" s="58"/>
      <c r="H2521" s="66"/>
      <c r="I2521" s="58"/>
      <c r="K2521" s="60"/>
    </row>
    <row r="2522" s="37" customFormat="1" ht="12.75" spans="1:11">
      <c r="A2522" s="54"/>
      <c r="B2522" s="54"/>
      <c r="C2522" s="65"/>
      <c r="D2522" s="65"/>
      <c r="E2522" s="54"/>
      <c r="G2522" s="58"/>
      <c r="H2522" s="66"/>
      <c r="I2522" s="58"/>
      <c r="K2522" s="60"/>
    </row>
    <row r="2523" s="37" customFormat="1" ht="12.75" spans="1:11">
      <c r="A2523" s="54"/>
      <c r="B2523" s="54"/>
      <c r="C2523" s="65"/>
      <c r="D2523" s="65"/>
      <c r="E2523" s="54"/>
      <c r="G2523" s="58"/>
      <c r="H2523" s="66"/>
      <c r="I2523" s="58"/>
      <c r="K2523" s="60"/>
    </row>
    <row r="2524" s="37" customFormat="1" ht="12.75" spans="1:11">
      <c r="A2524" s="54"/>
      <c r="B2524" s="54"/>
      <c r="C2524" s="65"/>
      <c r="D2524" s="65"/>
      <c r="E2524" s="54"/>
      <c r="G2524" s="58"/>
      <c r="H2524" s="66"/>
      <c r="I2524" s="58"/>
      <c r="K2524" s="60"/>
    </row>
    <row r="2525" s="37" customFormat="1" ht="12.75" spans="1:11">
      <c r="C2525" s="64"/>
      <c r="D2525" s="64"/>
      <c r="G2525" s="58"/>
      <c r="H2525" s="59"/>
      <c r="I2525" s="58"/>
      <c r="K2525" s="60"/>
    </row>
    <row r="2526" s="37" customFormat="1" ht="12.75" spans="1:11">
      <c r="C2526" s="64"/>
      <c r="D2526" s="64"/>
      <c r="G2526" s="58"/>
      <c r="H2526" s="59"/>
      <c r="I2526" s="58"/>
      <c r="K2526" s="60"/>
    </row>
    <row r="2527" s="37" customFormat="1" ht="12.75" spans="1:11">
      <c r="C2527" s="64"/>
      <c r="D2527" s="64"/>
      <c r="G2527" s="58"/>
      <c r="H2527" s="59"/>
      <c r="I2527" s="58"/>
      <c r="K2527" s="60"/>
    </row>
    <row r="2528" s="37" customFormat="1" ht="12.75" spans="1:11">
      <c r="C2528" s="64"/>
      <c r="D2528" s="64"/>
      <c r="G2528" s="58"/>
      <c r="H2528" s="59"/>
      <c r="I2528" s="58"/>
      <c r="K2528" s="60"/>
    </row>
    <row r="2529" s="37" customFormat="1" ht="12.75" spans="1:13">
      <c r="A2529" s="54"/>
      <c r="B2529" s="54"/>
      <c r="C2529" s="65"/>
      <c r="D2529" s="65"/>
      <c r="E2529" s="54"/>
      <c r="G2529" s="58"/>
      <c r="H2529" s="66"/>
      <c r="I2529" s="58"/>
      <c r="K2529" s="60"/>
    </row>
    <row r="2530" s="37" customFormat="1" ht="12.75" spans="1:13">
      <c r="A2530" s="54"/>
      <c r="B2530" s="54"/>
      <c r="C2530" s="65"/>
      <c r="D2530" s="65"/>
      <c r="E2530" s="54"/>
      <c r="G2530" s="58"/>
      <c r="H2530" s="66"/>
      <c r="I2530" s="58"/>
      <c r="K2530" s="60"/>
    </row>
    <row r="2531" s="37" customFormat="1" ht="12.75" spans="1:13">
      <c r="A2531" s="54"/>
      <c r="B2531" s="54"/>
      <c r="C2531" s="65"/>
      <c r="D2531" s="65"/>
      <c r="E2531" s="54"/>
      <c r="G2531" s="58"/>
      <c r="H2531" s="66"/>
      <c r="I2531" s="58"/>
      <c r="K2531" s="60"/>
    </row>
    <row r="2532" s="37" customFormat="1" ht="12.75" spans="1:13">
      <c r="A2532" s="54"/>
      <c r="B2532" s="54"/>
      <c r="C2532" s="65"/>
      <c r="D2532" s="65"/>
      <c r="E2532" s="54"/>
      <c r="G2532" s="58"/>
      <c r="H2532" s="66"/>
      <c r="I2532" s="58"/>
      <c r="K2532" s="60"/>
    </row>
    <row r="2533" s="37" customFormat="1" ht="12.75" spans="1:13">
      <c r="C2533" s="64"/>
      <c r="D2533" s="64"/>
      <c r="G2533" s="58"/>
      <c r="H2533" s="59"/>
      <c r="I2533" s="58"/>
      <c r="K2533" s="60"/>
    </row>
    <row r="2534" s="37" customFormat="1" ht="12.75" spans="1:13">
      <c r="C2534" s="64"/>
      <c r="D2534" s="64"/>
      <c r="G2534" s="58"/>
      <c r="H2534" s="59"/>
      <c r="I2534" s="58"/>
      <c r="K2534" s="60"/>
    </row>
    <row r="2535" s="37" customFormat="1" ht="12.75" spans="1:13">
      <c r="C2535" s="64"/>
      <c r="D2535" s="64"/>
      <c r="G2535" s="58"/>
      <c r="H2535" s="59"/>
      <c r="I2535" s="58"/>
      <c r="K2535" s="60"/>
    </row>
    <row r="2536" s="37" customFormat="1" ht="12.75" spans="1:13">
      <c r="C2536" s="64"/>
      <c r="D2536" s="64"/>
      <c r="G2536" s="58"/>
      <c r="H2536" s="59"/>
      <c r="I2536" s="58"/>
      <c r="K2536" s="60"/>
    </row>
    <row r="2537" s="37" customFormat="1" ht="12.75" spans="1:13">
      <c r="C2537" s="64"/>
      <c r="D2537" s="64"/>
      <c r="G2537" s="58"/>
      <c r="H2537" s="59"/>
      <c r="I2537" s="58"/>
      <c r="K2537" s="60"/>
    </row>
    <row r="2538" s="37" customFormat="1" ht="12.75" spans="1:13">
      <c r="A2538" s="54"/>
      <c r="B2538" s="54"/>
      <c r="C2538" s="65"/>
      <c r="D2538" s="65"/>
      <c r="E2538" s="54"/>
      <c r="G2538" s="58"/>
      <c r="H2538" s="66"/>
      <c r="I2538" s="58"/>
      <c r="J2538" s="63"/>
      <c r="L2538" s="60"/>
      <c r="M2538" s="61"/>
    </row>
    <row r="2539" s="37" customFormat="1" ht="12.75" spans="1:13">
      <c r="A2539" s="54"/>
      <c r="B2539" s="54"/>
      <c r="C2539" s="65"/>
      <c r="D2539" s="65"/>
      <c r="E2539" s="54"/>
      <c r="G2539" s="58"/>
      <c r="H2539" s="66"/>
      <c r="I2539" s="58"/>
      <c r="K2539" s="60"/>
    </row>
    <row r="2540" s="37" customFormat="1" ht="12.75" spans="1:13">
      <c r="C2540" s="64"/>
      <c r="D2540" s="64"/>
      <c r="G2540" s="58"/>
      <c r="H2540" s="59"/>
      <c r="I2540" s="58"/>
      <c r="K2540" s="60"/>
    </row>
    <row r="2541" s="37" customFormat="1" ht="12.75" spans="1:13">
      <c r="C2541" s="64"/>
      <c r="D2541" s="64"/>
      <c r="G2541" s="58"/>
      <c r="H2541" s="59"/>
      <c r="I2541" s="58"/>
      <c r="K2541" s="60"/>
    </row>
    <row r="2542" s="37" customFormat="1" ht="12.75" spans="1:13">
      <c r="C2542" s="64"/>
      <c r="D2542" s="64"/>
      <c r="G2542" s="58"/>
      <c r="H2542" s="59"/>
      <c r="I2542" s="58"/>
      <c r="K2542" s="60"/>
    </row>
    <row r="2543" s="37" customFormat="1" ht="12.75" spans="1:13">
      <c r="C2543" s="64"/>
      <c r="D2543" s="64"/>
      <c r="G2543" s="58"/>
      <c r="H2543" s="59"/>
      <c r="I2543" s="58"/>
      <c r="K2543" s="60"/>
    </row>
    <row r="2544" s="37" customFormat="1" ht="12.75" spans="1:13">
      <c r="A2544" s="54"/>
      <c r="B2544" s="54"/>
      <c r="C2544" s="65"/>
      <c r="D2544" s="65"/>
      <c r="E2544" s="54"/>
      <c r="G2544" s="58"/>
      <c r="H2544" s="66"/>
      <c r="I2544" s="58"/>
      <c r="K2544" s="60"/>
    </row>
    <row r="2545" s="37" customFormat="1" ht="12.75" spans="1:13">
      <c r="A2545" s="54"/>
      <c r="B2545" s="54"/>
      <c r="C2545" s="65"/>
      <c r="D2545" s="65"/>
      <c r="E2545" s="54"/>
      <c r="G2545" s="58"/>
      <c r="H2545" s="66"/>
      <c r="I2545" s="58"/>
      <c r="K2545" s="60"/>
    </row>
    <row r="2546" s="37" customFormat="1" ht="12.75" spans="1:13">
      <c r="A2546" s="54"/>
      <c r="B2546" s="54"/>
      <c r="C2546" s="65"/>
      <c r="D2546" s="65"/>
      <c r="E2546" s="54"/>
      <c r="G2546" s="58"/>
      <c r="H2546" s="66"/>
      <c r="I2546" s="58"/>
      <c r="J2546" s="63"/>
      <c r="K2546" s="60"/>
      <c r="L2546" s="60"/>
      <c r="M2546" s="61"/>
    </row>
    <row r="2547" s="37" customFormat="1" ht="12.75" spans="1:13">
      <c r="C2547" s="64"/>
      <c r="D2547" s="64"/>
      <c r="G2547" s="58"/>
      <c r="H2547" s="59"/>
      <c r="I2547" s="58"/>
      <c r="J2547" s="63"/>
      <c r="K2547" s="60"/>
      <c r="L2547" s="60"/>
      <c r="M2547" s="61"/>
    </row>
    <row r="2548" s="37" customFormat="1" ht="12.75" spans="1:13">
      <c r="C2548" s="64"/>
      <c r="D2548" s="64"/>
      <c r="G2548" s="58"/>
      <c r="H2548" s="59"/>
      <c r="I2548" s="58"/>
      <c r="K2548" s="60"/>
    </row>
    <row r="2549" s="37" customFormat="1" ht="12.75" spans="1:13">
      <c r="C2549" s="64"/>
      <c r="D2549" s="64"/>
      <c r="G2549" s="58"/>
      <c r="H2549" s="59"/>
      <c r="I2549" s="58"/>
      <c r="K2549" s="60"/>
    </row>
    <row r="2550" s="37" customFormat="1" ht="12.75" spans="1:13">
      <c r="C2550" s="64"/>
      <c r="D2550" s="64"/>
      <c r="G2550" s="58"/>
      <c r="H2550" s="59"/>
      <c r="I2550" s="58"/>
      <c r="K2550" s="60"/>
    </row>
    <row r="2551" s="37" customFormat="1" ht="12.75" spans="1:13">
      <c r="C2551" s="64"/>
      <c r="D2551" s="64"/>
      <c r="G2551" s="58"/>
      <c r="H2551" s="59"/>
      <c r="I2551" s="58"/>
      <c r="K2551" s="60"/>
    </row>
    <row r="2552" s="37" customFormat="1" ht="12.75" spans="1:13">
      <c r="A2552" s="54"/>
      <c r="B2552" s="54"/>
      <c r="C2552" s="65"/>
      <c r="D2552" s="65"/>
      <c r="E2552" s="54"/>
      <c r="G2552" s="58"/>
      <c r="H2552" s="66"/>
      <c r="I2552" s="58"/>
      <c r="K2552" s="60"/>
    </row>
    <row r="2553" s="37" customFormat="1" ht="12.75" spans="1:13">
      <c r="A2553" s="54"/>
      <c r="B2553" s="54"/>
      <c r="C2553" s="65"/>
      <c r="D2553" s="65"/>
      <c r="E2553" s="54"/>
      <c r="G2553" s="58"/>
      <c r="H2553" s="66"/>
      <c r="I2553" s="58"/>
      <c r="K2553" s="60"/>
    </row>
    <row r="2554" s="37" customFormat="1" ht="12.75" spans="1:13">
      <c r="C2554" s="64"/>
      <c r="D2554" s="64"/>
      <c r="G2554" s="58"/>
      <c r="H2554" s="59"/>
      <c r="I2554" s="58"/>
      <c r="K2554" s="60"/>
    </row>
    <row r="2555" s="37" customFormat="1" ht="12.75" spans="1:13">
      <c r="C2555" s="64"/>
      <c r="D2555" s="64"/>
      <c r="G2555" s="58"/>
      <c r="H2555" s="59"/>
      <c r="I2555" s="58"/>
      <c r="J2555" s="63"/>
      <c r="L2555" s="60"/>
      <c r="M2555" s="61"/>
    </row>
    <row r="2556" s="37" customFormat="1" ht="12.75" spans="1:13">
      <c r="C2556" s="64"/>
      <c r="D2556" s="64"/>
      <c r="G2556" s="58"/>
      <c r="H2556" s="59"/>
      <c r="I2556" s="58"/>
      <c r="J2556" s="63"/>
      <c r="K2556" s="60"/>
      <c r="L2556" s="60"/>
      <c r="M2556" s="61"/>
    </row>
    <row r="2557" s="37" customFormat="1" ht="12.75" spans="1:13">
      <c r="C2557" s="64"/>
      <c r="D2557" s="64"/>
      <c r="G2557" s="58"/>
      <c r="H2557" s="59"/>
      <c r="I2557" s="58"/>
      <c r="K2557" s="60"/>
    </row>
    <row r="2558" s="37" customFormat="1" ht="12.75" spans="1:13">
      <c r="A2558" s="54"/>
      <c r="B2558" s="54"/>
      <c r="C2558" s="65"/>
      <c r="D2558" s="65"/>
      <c r="E2558" s="54"/>
      <c r="G2558" s="58"/>
      <c r="H2558" s="66"/>
      <c r="I2558" s="58"/>
      <c r="K2558" s="60"/>
    </row>
    <row r="2559" s="37" customFormat="1" ht="12.75" spans="1:13">
      <c r="A2559" s="54"/>
      <c r="B2559" s="54"/>
      <c r="C2559" s="65"/>
      <c r="D2559" s="65"/>
      <c r="E2559" s="54"/>
      <c r="G2559" s="58"/>
      <c r="H2559" s="66"/>
      <c r="I2559" s="58"/>
      <c r="K2559" s="60"/>
    </row>
    <row r="2560" s="37" customFormat="1" ht="12.75" spans="1:13">
      <c r="C2560" s="64"/>
      <c r="D2560" s="64"/>
      <c r="G2560" s="58"/>
      <c r="H2560" s="59"/>
      <c r="I2560" s="58"/>
      <c r="K2560" s="60"/>
    </row>
    <row r="2561" s="37" customFormat="1" ht="12.75" spans="1:13">
      <c r="C2561" s="64"/>
      <c r="D2561" s="64"/>
      <c r="G2561" s="58"/>
      <c r="H2561" s="59"/>
      <c r="I2561" s="58"/>
      <c r="K2561" s="60"/>
    </row>
    <row r="2562" s="37" customFormat="1" ht="12.75" spans="1:13">
      <c r="C2562" s="64"/>
      <c r="D2562" s="64"/>
      <c r="G2562" s="58"/>
      <c r="H2562" s="59"/>
      <c r="I2562" s="58"/>
      <c r="K2562" s="60"/>
    </row>
    <row r="2563" s="37" customFormat="1" ht="12.75" spans="1:13">
      <c r="C2563" s="64"/>
      <c r="D2563" s="64"/>
      <c r="G2563" s="58"/>
      <c r="H2563" s="59"/>
      <c r="I2563" s="58"/>
      <c r="K2563" s="60"/>
    </row>
    <row r="2564" s="37" customFormat="1" ht="12.75" spans="1:13">
      <c r="A2564" s="54"/>
      <c r="B2564" s="54"/>
      <c r="C2564" s="65"/>
      <c r="D2564" s="65"/>
      <c r="E2564" s="54"/>
      <c r="G2564" s="58"/>
      <c r="H2564" s="66"/>
      <c r="I2564" s="58"/>
      <c r="J2564" s="63"/>
      <c r="K2564" s="60"/>
      <c r="L2564" s="60"/>
      <c r="M2564" s="61"/>
    </row>
    <row r="2565" s="37" customFormat="1" ht="12.75" spans="1:13">
      <c r="A2565" s="54"/>
      <c r="B2565" s="54"/>
      <c r="C2565" s="65"/>
      <c r="D2565" s="65"/>
      <c r="E2565" s="54"/>
      <c r="G2565" s="58"/>
      <c r="H2565" s="66"/>
      <c r="I2565" s="58"/>
      <c r="K2565" s="60"/>
    </row>
    <row r="2566" s="37" customFormat="1" ht="12.75" spans="1:13">
      <c r="A2566" s="54"/>
      <c r="B2566" s="54"/>
      <c r="C2566" s="65"/>
      <c r="D2566" s="65"/>
      <c r="E2566" s="54"/>
      <c r="G2566" s="58"/>
      <c r="H2566" s="66"/>
      <c r="I2566" s="58"/>
      <c r="K2566" s="60"/>
    </row>
    <row r="2567" s="37" customFormat="1" ht="12.75" spans="1:13">
      <c r="C2567" s="64"/>
      <c r="D2567" s="64"/>
      <c r="G2567" s="58"/>
      <c r="H2567" s="59"/>
      <c r="I2567" s="58"/>
      <c r="K2567" s="60"/>
    </row>
    <row r="2568" s="37" customFormat="1" ht="12.75" spans="1:13">
      <c r="C2568" s="64"/>
      <c r="D2568" s="64"/>
      <c r="G2568" s="58"/>
      <c r="H2568" s="59"/>
      <c r="I2568" s="58"/>
      <c r="K2568" s="60"/>
    </row>
    <row r="2569" s="37" customFormat="1" ht="12.75" spans="1:13">
      <c r="C2569" s="64"/>
      <c r="D2569" s="64"/>
      <c r="G2569" s="58"/>
      <c r="H2569" s="59"/>
      <c r="I2569" s="58"/>
      <c r="K2569" s="60"/>
    </row>
    <row r="2570" s="37" customFormat="1" ht="12.75" spans="1:13">
      <c r="C2570" s="64"/>
      <c r="D2570" s="64"/>
      <c r="G2570" s="58"/>
      <c r="H2570" s="59"/>
      <c r="I2570" s="58"/>
      <c r="K2570" s="60"/>
    </row>
    <row r="2571" s="37" customFormat="1" ht="12.75" spans="1:13">
      <c r="A2571" s="54"/>
      <c r="B2571" s="54"/>
      <c r="C2571" s="65"/>
      <c r="D2571" s="65"/>
      <c r="E2571" s="54"/>
      <c r="G2571" s="58"/>
      <c r="H2571" s="66"/>
      <c r="I2571" s="58"/>
      <c r="K2571" s="60"/>
    </row>
    <row r="2572" s="37" customFormat="1" ht="12.75" spans="1:13">
      <c r="A2572" s="54"/>
      <c r="B2572" s="54"/>
      <c r="C2572" s="65"/>
      <c r="D2572" s="65"/>
      <c r="E2572" s="54"/>
      <c r="G2572" s="58"/>
      <c r="H2572" s="66"/>
      <c r="I2572" s="58"/>
      <c r="J2572" s="63"/>
      <c r="L2572" s="60"/>
      <c r="M2572" s="61"/>
    </row>
    <row r="2573" s="37" customFormat="1" ht="12.75" spans="1:13">
      <c r="A2573" s="54"/>
      <c r="B2573" s="54"/>
      <c r="C2573" s="65"/>
      <c r="D2573" s="65"/>
      <c r="E2573" s="54"/>
      <c r="G2573" s="58"/>
      <c r="H2573" s="66"/>
      <c r="I2573" s="58"/>
      <c r="J2573" s="63"/>
      <c r="K2573" s="60"/>
      <c r="L2573" s="60"/>
      <c r="M2573" s="61"/>
    </row>
    <row r="2574" s="37" customFormat="1" ht="12.75" spans="1:13">
      <c r="C2574" s="64"/>
      <c r="D2574" s="64"/>
      <c r="G2574" s="58"/>
      <c r="H2574" s="59"/>
      <c r="I2574" s="58"/>
      <c r="J2574" s="63"/>
      <c r="K2574" s="60"/>
      <c r="L2574" s="60"/>
      <c r="M2574" s="61"/>
    </row>
    <row r="2575" s="37" customFormat="1" ht="12.75" spans="1:13">
      <c r="C2575" s="64"/>
      <c r="D2575" s="64"/>
      <c r="G2575" s="58"/>
      <c r="H2575" s="59"/>
      <c r="I2575" s="58"/>
      <c r="K2575" s="60"/>
    </row>
    <row r="2576" s="37" customFormat="1" ht="12.75" spans="1:13">
      <c r="C2576" s="64"/>
      <c r="D2576" s="64"/>
      <c r="G2576" s="58"/>
      <c r="H2576" s="59"/>
      <c r="I2576" s="58"/>
      <c r="K2576" s="60"/>
    </row>
    <row r="2577" s="37" customFormat="1" ht="12.75" spans="1:13">
      <c r="C2577" s="64"/>
      <c r="D2577" s="64"/>
      <c r="G2577" s="58"/>
      <c r="H2577" s="59"/>
      <c r="I2577" s="58"/>
      <c r="K2577" s="60"/>
    </row>
    <row r="2578" s="37" customFormat="1" ht="12.75" spans="1:13">
      <c r="C2578" s="64"/>
      <c r="D2578" s="64"/>
      <c r="G2578" s="58"/>
      <c r="H2578" s="59"/>
      <c r="I2578" s="58"/>
      <c r="K2578" s="60"/>
    </row>
    <row r="2579" s="37" customFormat="1" ht="12.75" spans="1:13">
      <c r="A2579" s="54"/>
      <c r="B2579" s="54"/>
      <c r="C2579" s="65"/>
      <c r="D2579" s="65"/>
      <c r="E2579" s="54"/>
      <c r="G2579" s="58"/>
      <c r="H2579" s="66"/>
      <c r="I2579" s="58"/>
      <c r="K2579" s="60"/>
    </row>
    <row r="2580" s="37" customFormat="1" ht="12.75" spans="1:13">
      <c r="A2580" s="54"/>
      <c r="B2580" s="54"/>
      <c r="C2580" s="65"/>
      <c r="D2580" s="65"/>
      <c r="E2580" s="54"/>
      <c r="G2580" s="58"/>
      <c r="H2580" s="66"/>
      <c r="I2580" s="58"/>
      <c r="K2580" s="60"/>
    </row>
    <row r="2581" s="37" customFormat="1" ht="12.75" spans="1:13">
      <c r="C2581" s="64"/>
      <c r="D2581" s="64"/>
      <c r="G2581" s="58"/>
      <c r="H2581" s="59"/>
      <c r="I2581" s="58"/>
      <c r="K2581" s="60"/>
    </row>
    <row r="2582" s="37" customFormat="1" ht="12.75" spans="1:13">
      <c r="C2582" s="64"/>
      <c r="D2582" s="64"/>
      <c r="G2582" s="58"/>
      <c r="H2582" s="59"/>
      <c r="I2582" s="58"/>
      <c r="J2582" s="63"/>
      <c r="L2582" s="60"/>
      <c r="M2582" s="61"/>
    </row>
    <row r="2583" s="37" customFormat="1" ht="12.75" spans="1:13">
      <c r="C2583" s="64"/>
      <c r="D2583" s="64"/>
      <c r="G2583" s="58"/>
      <c r="H2583" s="59"/>
      <c r="I2583" s="58"/>
      <c r="J2583" s="63"/>
      <c r="K2583" s="60"/>
      <c r="L2583" s="60"/>
      <c r="M2583" s="61"/>
    </row>
    <row r="2584" s="37" customFormat="1" ht="12.75" spans="1:13">
      <c r="C2584" s="64"/>
      <c r="D2584" s="64"/>
      <c r="G2584" s="58"/>
      <c r="H2584" s="59"/>
      <c r="I2584" s="58"/>
      <c r="J2584" s="63"/>
      <c r="K2584" s="60"/>
      <c r="L2584" s="60"/>
      <c r="M2584" s="61"/>
    </row>
    <row r="2585" s="37" customFormat="1" ht="12.75" spans="1:13">
      <c r="C2585" s="64"/>
      <c r="D2585" s="64"/>
      <c r="G2585" s="58"/>
      <c r="H2585" s="59"/>
      <c r="I2585" s="58"/>
      <c r="J2585" s="63"/>
      <c r="K2585" s="60"/>
      <c r="L2585" s="60"/>
      <c r="M2585" s="61"/>
    </row>
    <row r="2586" s="37" customFormat="1" ht="12.75" spans="1:13">
      <c r="A2586" s="54"/>
      <c r="B2586" s="54"/>
      <c r="C2586" s="65"/>
      <c r="D2586" s="65"/>
      <c r="E2586" s="54"/>
      <c r="G2586" s="58"/>
      <c r="H2586" s="66"/>
      <c r="I2586" s="58"/>
      <c r="K2586" s="60"/>
    </row>
    <row r="2587" s="37" customFormat="1" ht="12.75" spans="1:13">
      <c r="A2587" s="54"/>
      <c r="B2587" s="54"/>
      <c r="C2587" s="65"/>
      <c r="D2587" s="65"/>
      <c r="E2587" s="54"/>
      <c r="G2587" s="58"/>
      <c r="H2587" s="66"/>
      <c r="I2587" s="58"/>
      <c r="K2587" s="60"/>
    </row>
    <row r="2588" s="37" customFormat="1" ht="12.75" spans="1:13">
      <c r="A2588" s="54"/>
      <c r="B2588" s="54"/>
      <c r="C2588" s="65"/>
      <c r="D2588" s="65"/>
      <c r="E2588" s="54"/>
      <c r="G2588" s="58"/>
      <c r="H2588" s="66"/>
      <c r="I2588" s="58"/>
      <c r="K2588" s="60"/>
    </row>
    <row r="2589" s="37" customFormat="1" ht="12.75" spans="1:13">
      <c r="A2589" s="54"/>
      <c r="B2589" s="54"/>
      <c r="C2589" s="65"/>
      <c r="D2589" s="65"/>
      <c r="E2589" s="54"/>
      <c r="G2589" s="58"/>
      <c r="H2589" s="66"/>
      <c r="I2589" s="58"/>
      <c r="K2589" s="60"/>
    </row>
    <row r="2590" s="37" customFormat="1" ht="12.75" spans="1:13">
      <c r="A2590" s="54"/>
      <c r="B2590" s="54"/>
      <c r="C2590" s="65"/>
      <c r="D2590" s="65"/>
      <c r="E2590" s="54"/>
      <c r="G2590" s="58"/>
      <c r="H2590" s="66"/>
      <c r="I2590" s="58"/>
      <c r="K2590" s="60"/>
    </row>
    <row r="2591" s="37" customFormat="1" ht="12.75" spans="1:13">
      <c r="A2591" s="54"/>
      <c r="B2591" s="54"/>
      <c r="C2591" s="65"/>
      <c r="D2591" s="65"/>
      <c r="E2591" s="54"/>
      <c r="G2591" s="58"/>
      <c r="H2591" s="66"/>
      <c r="I2591" s="58"/>
      <c r="K2591" s="60"/>
    </row>
    <row r="2592" s="37" customFormat="1" ht="12.75" spans="1:13">
      <c r="A2592" s="54"/>
      <c r="B2592" s="54"/>
      <c r="C2592" s="65"/>
      <c r="D2592" s="65"/>
      <c r="E2592" s="54"/>
      <c r="G2592" s="58"/>
      <c r="H2592" s="66"/>
      <c r="I2592" s="58"/>
      <c r="K2592" s="60"/>
    </row>
    <row r="2593" s="37" customFormat="1" ht="12.75" spans="1:13">
      <c r="A2593" s="54"/>
      <c r="B2593" s="54"/>
      <c r="C2593" s="65"/>
      <c r="D2593" s="65"/>
      <c r="E2593" s="54"/>
      <c r="G2593" s="58"/>
      <c r="H2593" s="66"/>
      <c r="I2593" s="58"/>
      <c r="J2593" s="63"/>
      <c r="L2593" s="60"/>
      <c r="M2593" s="61"/>
    </row>
    <row r="2594" s="37" customFormat="1" ht="12.75" spans="1:13">
      <c r="C2594" s="64"/>
      <c r="D2594" s="64"/>
      <c r="G2594" s="58"/>
      <c r="H2594" s="59"/>
      <c r="I2594" s="58"/>
      <c r="J2594" s="63"/>
      <c r="K2594" s="60"/>
      <c r="L2594" s="60"/>
      <c r="M2594" s="61"/>
    </row>
    <row r="2595" s="37" customFormat="1" ht="12.75" spans="1:13">
      <c r="C2595" s="64"/>
      <c r="D2595" s="64"/>
      <c r="G2595" s="58"/>
      <c r="H2595" s="59"/>
      <c r="I2595" s="58"/>
      <c r="J2595" s="63"/>
      <c r="K2595" s="60"/>
      <c r="L2595" s="60"/>
      <c r="M2595" s="61"/>
    </row>
    <row r="2596" s="37" customFormat="1" ht="12.75" spans="1:13">
      <c r="C2596" s="64"/>
      <c r="D2596" s="64"/>
      <c r="G2596" s="58"/>
      <c r="H2596" s="59"/>
      <c r="I2596" s="58"/>
      <c r="K2596" s="60"/>
    </row>
    <row r="2597" s="37" customFormat="1" ht="12.75" spans="1:13">
      <c r="C2597" s="64"/>
      <c r="D2597" s="64"/>
      <c r="G2597" s="58"/>
      <c r="H2597" s="59"/>
      <c r="I2597" s="58"/>
      <c r="K2597" s="60"/>
    </row>
    <row r="2598" s="37" customFormat="1" ht="12.75" spans="1:13">
      <c r="A2598" s="54"/>
      <c r="B2598" s="54"/>
      <c r="C2598" s="65"/>
      <c r="D2598" s="65"/>
      <c r="E2598" s="54"/>
      <c r="G2598" s="58"/>
      <c r="H2598" s="66"/>
      <c r="I2598" s="58"/>
      <c r="K2598" s="60"/>
    </row>
    <row r="2599" s="37" customFormat="1" ht="12.75" spans="1:13">
      <c r="A2599" s="54"/>
      <c r="B2599" s="54"/>
      <c r="C2599" s="65"/>
      <c r="D2599" s="65"/>
      <c r="E2599" s="54"/>
      <c r="G2599" s="58"/>
      <c r="H2599" s="66"/>
      <c r="I2599" s="58"/>
      <c r="K2599" s="60"/>
    </row>
    <row r="2600" s="37" customFormat="1" ht="12.75" spans="1:13">
      <c r="C2600" s="64"/>
      <c r="D2600" s="64"/>
      <c r="G2600" s="58"/>
      <c r="H2600" s="59"/>
      <c r="I2600" s="58"/>
      <c r="K2600" s="60"/>
    </row>
    <row r="2601" s="37" customFormat="1" ht="12.75" spans="1:13">
      <c r="C2601" s="64"/>
      <c r="D2601" s="64"/>
      <c r="G2601" s="58"/>
      <c r="H2601" s="59"/>
      <c r="I2601" s="58"/>
      <c r="K2601" s="60"/>
    </row>
    <row r="2602" s="37" customFormat="1" ht="12.75" spans="1:13">
      <c r="C2602" s="64"/>
      <c r="D2602" s="64"/>
      <c r="G2602" s="58"/>
      <c r="H2602" s="59"/>
      <c r="I2602" s="58"/>
      <c r="J2602" s="63"/>
      <c r="L2602" s="60"/>
      <c r="M2602" s="61"/>
    </row>
    <row r="2603" s="37" customFormat="1" ht="12.75" spans="1:13">
      <c r="C2603" s="64"/>
      <c r="D2603" s="64"/>
      <c r="G2603" s="58"/>
      <c r="H2603" s="59"/>
      <c r="I2603" s="58"/>
      <c r="J2603" s="63"/>
      <c r="K2603" s="60"/>
      <c r="L2603" s="60"/>
      <c r="M2603" s="61"/>
    </row>
    <row r="2604" s="37" customFormat="1" ht="12.75" spans="1:13">
      <c r="A2604" s="54"/>
      <c r="B2604" s="54"/>
      <c r="C2604" s="65"/>
      <c r="D2604" s="65"/>
      <c r="E2604" s="54"/>
      <c r="G2604" s="58"/>
      <c r="H2604" s="66"/>
      <c r="I2604" s="58"/>
      <c r="J2604" s="63"/>
      <c r="L2604" s="60"/>
      <c r="M2604" s="61"/>
    </row>
    <row r="2605" s="37" customFormat="1" ht="12.75" spans="1:13">
      <c r="A2605" s="54"/>
      <c r="B2605" s="54"/>
      <c r="C2605" s="65"/>
      <c r="D2605" s="65"/>
      <c r="E2605" s="54"/>
      <c r="G2605" s="58"/>
      <c r="H2605" s="66"/>
      <c r="I2605" s="58"/>
      <c r="K2605" s="60"/>
    </row>
    <row r="2606" s="37" customFormat="1" ht="12.75" spans="1:13">
      <c r="C2606" s="64"/>
      <c r="D2606" s="64"/>
      <c r="G2606" s="58"/>
      <c r="H2606" s="59"/>
      <c r="I2606" s="58"/>
      <c r="K2606" s="60"/>
    </row>
    <row r="2607" s="37" customFormat="1" ht="12.75" spans="1:13">
      <c r="C2607" s="64"/>
      <c r="D2607" s="64"/>
      <c r="G2607" s="58"/>
      <c r="H2607" s="59"/>
      <c r="I2607" s="58"/>
      <c r="K2607" s="60"/>
    </row>
    <row r="2608" s="37" customFormat="1" ht="12.75" spans="1:13">
      <c r="C2608" s="64"/>
      <c r="D2608" s="64"/>
      <c r="G2608" s="58"/>
      <c r="H2608" s="59"/>
      <c r="I2608" s="58"/>
      <c r="K2608" s="60"/>
    </row>
    <row r="2609" s="37" customFormat="1" ht="12.75" spans="3:13">
      <c r="C2609" s="64"/>
      <c r="D2609" s="64"/>
      <c r="G2609" s="58"/>
      <c r="H2609" s="59"/>
      <c r="I2609" s="58"/>
      <c r="K2609" s="60"/>
    </row>
    <row r="2610" s="37" customFormat="1" ht="12.75" spans="3:13">
      <c r="C2610" s="64"/>
      <c r="D2610" s="64"/>
      <c r="G2610" s="58"/>
      <c r="H2610" s="59"/>
      <c r="I2610" s="58"/>
      <c r="K2610" s="60"/>
    </row>
    <row r="2611" s="37" customFormat="1" ht="12.75" spans="3:13">
      <c r="C2611" s="64"/>
      <c r="D2611" s="64"/>
      <c r="G2611" s="58"/>
      <c r="H2611" s="59"/>
      <c r="I2611" s="58"/>
      <c r="K2611" s="60"/>
    </row>
    <row r="2612" s="37" customFormat="1" ht="12.75" spans="3:13">
      <c r="C2612" s="64"/>
      <c r="D2612" s="64"/>
      <c r="G2612" s="58"/>
      <c r="H2612" s="59"/>
      <c r="I2612" s="58"/>
      <c r="K2612" s="60"/>
    </row>
    <row r="2613" s="37" customFormat="1" ht="12.75" spans="3:13">
      <c r="C2613" s="64"/>
      <c r="D2613" s="64"/>
      <c r="G2613" s="58"/>
      <c r="H2613" s="59"/>
      <c r="I2613" s="58"/>
      <c r="J2613" s="63"/>
      <c r="L2613" s="60"/>
      <c r="M2613" s="61"/>
    </row>
    <row r="2614" s="37" customFormat="1" ht="12.75" spans="3:13">
      <c r="C2614" s="64"/>
      <c r="D2614" s="64"/>
      <c r="G2614" s="58"/>
      <c r="H2614" s="59"/>
      <c r="I2614" s="58"/>
      <c r="J2614" s="63"/>
      <c r="K2614" s="60"/>
      <c r="L2614" s="60"/>
      <c r="M2614" s="61"/>
    </row>
    <row r="2615" s="37" customFormat="1" ht="12.75" spans="3:13">
      <c r="C2615" s="64"/>
      <c r="D2615" s="64"/>
      <c r="G2615" s="58"/>
      <c r="H2615" s="59"/>
      <c r="I2615" s="58"/>
      <c r="J2615" s="63"/>
      <c r="K2615" s="60"/>
      <c r="L2615" s="60"/>
      <c r="M2615" s="61"/>
    </row>
    <row r="2616" s="37" customFormat="1" ht="12.75" spans="3:13">
      <c r="C2616" s="64"/>
      <c r="D2616" s="64"/>
      <c r="G2616" s="58"/>
      <c r="H2616" s="59"/>
      <c r="I2616" s="58"/>
      <c r="J2616" s="63"/>
      <c r="L2616" s="60"/>
      <c r="M2616" s="61"/>
    </row>
    <row r="2617" s="37" customFormat="1" ht="12.75" spans="3:13">
      <c r="C2617" s="64"/>
      <c r="D2617" s="64"/>
      <c r="G2617" s="58"/>
      <c r="H2617" s="59"/>
      <c r="I2617" s="58"/>
      <c r="K2617" s="60"/>
    </row>
    <row r="2618" s="37" customFormat="1" ht="12.75" spans="3:13">
      <c r="C2618" s="64"/>
      <c r="D2618" s="64"/>
      <c r="G2618" s="58"/>
      <c r="H2618" s="59"/>
      <c r="I2618" s="58"/>
      <c r="K2618" s="60"/>
    </row>
    <row r="2619" s="37" customFormat="1" ht="12.75" spans="3:13">
      <c r="C2619" s="64"/>
      <c r="D2619" s="64"/>
      <c r="G2619" s="58"/>
      <c r="H2619" s="59"/>
      <c r="I2619" s="58"/>
      <c r="K2619" s="60"/>
    </row>
    <row r="2620" s="37" customFormat="1" ht="12.75" spans="3:13">
      <c r="C2620" s="64"/>
      <c r="D2620" s="64"/>
      <c r="G2620" s="58"/>
      <c r="H2620" s="59"/>
      <c r="I2620" s="58"/>
      <c r="K2620" s="60"/>
    </row>
    <row r="2621" s="37" customFormat="1" ht="12.75" spans="3:13">
      <c r="C2621" s="64"/>
      <c r="D2621" s="64"/>
      <c r="G2621" s="58"/>
      <c r="H2621" s="59"/>
      <c r="I2621" s="58"/>
      <c r="K2621" s="60"/>
    </row>
    <row r="2622" s="37" customFormat="1" ht="12.75" spans="3:13">
      <c r="C2622" s="64"/>
      <c r="D2622" s="64"/>
      <c r="G2622" s="58"/>
      <c r="H2622" s="59"/>
      <c r="I2622" s="58"/>
      <c r="K2622" s="60"/>
    </row>
    <row r="2623" s="37" customFormat="1" ht="12.75" spans="3:13">
      <c r="C2623" s="64"/>
      <c r="D2623" s="64"/>
      <c r="G2623" s="58"/>
      <c r="H2623" s="59"/>
      <c r="I2623" s="58"/>
      <c r="K2623" s="60"/>
    </row>
    <row r="2624" s="37" customFormat="1" ht="12.75" spans="3:13">
      <c r="C2624" s="64"/>
      <c r="D2624" s="64"/>
      <c r="G2624" s="58"/>
      <c r="H2624" s="59"/>
      <c r="I2624" s="58"/>
      <c r="J2624" s="63"/>
      <c r="L2624" s="60"/>
      <c r="M2624" s="61"/>
    </row>
    <row r="2625" s="37" customFormat="1" ht="12.75" spans="3:14">
      <c r="C2625" s="64"/>
      <c r="D2625" s="64"/>
      <c r="G2625" s="58"/>
      <c r="H2625" s="59"/>
      <c r="I2625" s="58"/>
      <c r="J2625" s="63"/>
      <c r="K2625" s="60"/>
      <c r="L2625" s="60"/>
      <c r="M2625" s="61"/>
    </row>
    <row r="2626" s="37" customFormat="1" ht="12.75" spans="3:14">
      <c r="C2626" s="64"/>
      <c r="D2626" s="64"/>
      <c r="G2626" s="58"/>
      <c r="H2626" s="59"/>
      <c r="I2626" s="58"/>
      <c r="J2626" s="63"/>
      <c r="K2626" s="60"/>
      <c r="L2626" s="60"/>
      <c r="M2626" s="61"/>
    </row>
    <row r="2627" s="37" customFormat="1" ht="12.75" spans="3:14">
      <c r="C2627" s="64"/>
      <c r="D2627" s="64"/>
      <c r="G2627" s="58"/>
      <c r="H2627" s="59"/>
      <c r="I2627" s="58"/>
      <c r="K2627" s="60"/>
      <c r="N2627" s="62"/>
    </row>
    <row r="2628" s="37" customFormat="1" ht="12.75" spans="3:14">
      <c r="C2628" s="64"/>
      <c r="D2628" s="64"/>
      <c r="G2628" s="58"/>
      <c r="H2628" s="59"/>
      <c r="I2628" s="58"/>
      <c r="K2628" s="60"/>
      <c r="N2628" s="62"/>
    </row>
    <row r="2629" s="37" customFormat="1" ht="12.75" spans="3:14">
      <c r="C2629" s="64"/>
      <c r="D2629" s="64"/>
      <c r="G2629" s="58"/>
      <c r="H2629" s="59"/>
      <c r="I2629" s="58"/>
      <c r="K2629" s="60"/>
      <c r="N2629" s="62"/>
    </row>
    <row r="2630" s="37" customFormat="1" ht="12.75" spans="3:14">
      <c r="C2630" s="64"/>
      <c r="D2630" s="64"/>
      <c r="G2630" s="58"/>
      <c r="H2630" s="59"/>
      <c r="I2630" s="58"/>
      <c r="K2630" s="60"/>
      <c r="N2630" s="62"/>
    </row>
    <row r="2631" s="37" customFormat="1" ht="12.75" spans="3:14">
      <c r="C2631" s="64"/>
      <c r="D2631" s="64"/>
      <c r="G2631" s="58"/>
      <c r="H2631" s="59"/>
      <c r="I2631" s="58"/>
      <c r="K2631" s="60"/>
      <c r="N2631" s="62"/>
    </row>
    <row r="2632" s="37" customFormat="1" ht="12.75" spans="3:14">
      <c r="C2632" s="64"/>
      <c r="D2632" s="64"/>
      <c r="G2632" s="58"/>
      <c r="H2632" s="59"/>
      <c r="I2632" s="58"/>
      <c r="K2632" s="60"/>
      <c r="N2632" s="62"/>
    </row>
    <row r="2633" s="37" customFormat="1" ht="12.75" spans="3:14">
      <c r="C2633" s="64"/>
      <c r="D2633" s="64"/>
      <c r="G2633" s="58"/>
      <c r="H2633" s="59"/>
      <c r="I2633" s="58"/>
      <c r="K2633" s="60"/>
      <c r="N2633" s="62"/>
    </row>
    <row r="2634" s="37" customFormat="1" ht="12.75" spans="3:14">
      <c r="C2634" s="64"/>
      <c r="D2634" s="64"/>
      <c r="G2634" s="58"/>
      <c r="H2634" s="59"/>
      <c r="I2634" s="58"/>
      <c r="J2634" s="63"/>
      <c r="L2634" s="60"/>
      <c r="M2634" s="61"/>
      <c r="N2634" s="62"/>
    </row>
    <row r="2635" s="37" customFormat="1" ht="12.75" spans="3:14">
      <c r="C2635" s="64"/>
      <c r="D2635" s="64"/>
      <c r="G2635" s="58"/>
      <c r="H2635" s="59"/>
      <c r="I2635" s="58"/>
      <c r="J2635" s="63"/>
      <c r="L2635" s="60"/>
      <c r="M2635" s="61"/>
      <c r="N2635" s="62"/>
    </row>
    <row r="2636" s="37" customFormat="1" ht="12.75" spans="3:14">
      <c r="C2636" s="64"/>
      <c r="D2636" s="64"/>
      <c r="G2636" s="58"/>
      <c r="H2636" s="59"/>
      <c r="I2636" s="58"/>
      <c r="K2636" s="60"/>
    </row>
    <row r="2637" s="37" customFormat="1" ht="12.75" spans="3:14">
      <c r="C2637" s="64"/>
      <c r="D2637" s="64"/>
      <c r="G2637" s="58"/>
      <c r="H2637" s="59"/>
      <c r="I2637" s="58"/>
      <c r="K2637" s="81"/>
    </row>
    <row r="2638" s="37" customFormat="1" ht="12.75" spans="3:14">
      <c r="C2638" s="64"/>
      <c r="D2638" s="64"/>
      <c r="G2638" s="58"/>
      <c r="H2638" s="59"/>
      <c r="I2638" s="58"/>
      <c r="K2638" s="81"/>
    </row>
    <row r="2639" s="37" customFormat="1" ht="12.75" spans="3:14">
      <c r="C2639" s="64"/>
      <c r="D2639" s="64"/>
      <c r="G2639" s="58"/>
      <c r="H2639" s="59"/>
      <c r="I2639" s="58"/>
      <c r="K2639" s="81"/>
    </row>
    <row r="2640" s="37" customFormat="1" ht="12.75" spans="3:14">
      <c r="C2640" s="64"/>
      <c r="D2640" s="64"/>
      <c r="G2640" s="58"/>
      <c r="H2640" s="59"/>
      <c r="I2640" s="58"/>
      <c r="K2640" s="81"/>
    </row>
    <row r="2641" s="37" customFormat="1" ht="12.75" spans="3:13">
      <c r="C2641" s="64"/>
      <c r="D2641" s="64"/>
      <c r="G2641" s="58"/>
      <c r="H2641" s="59"/>
      <c r="I2641" s="58"/>
      <c r="K2641" s="81"/>
    </row>
    <row r="2642" s="37" customFormat="1" ht="12.75" spans="3:13">
      <c r="C2642" s="64"/>
      <c r="D2642" s="64"/>
      <c r="G2642" s="58"/>
      <c r="H2642" s="59"/>
      <c r="I2642" s="58"/>
      <c r="K2642" s="81"/>
    </row>
    <row r="2643" s="37" customFormat="1" ht="12.75" spans="3:13">
      <c r="C2643" s="64"/>
      <c r="D2643" s="64"/>
      <c r="G2643" s="58"/>
      <c r="H2643" s="59"/>
      <c r="I2643" s="58"/>
      <c r="J2643" s="63"/>
      <c r="K2643" s="81"/>
      <c r="L2643" s="60"/>
      <c r="M2643" s="61"/>
    </row>
    <row r="2644" s="37" customFormat="1" ht="12.75" spans="3:13">
      <c r="C2644" s="64"/>
      <c r="D2644" s="64"/>
      <c r="G2644" s="58"/>
      <c r="H2644" s="59"/>
      <c r="I2644" s="58"/>
      <c r="K2644" s="81"/>
    </row>
    <row r="2645" s="37" customFormat="1" ht="12.75" spans="3:13">
      <c r="C2645" s="64"/>
      <c r="D2645" s="64"/>
      <c r="G2645" s="58"/>
      <c r="H2645" s="59"/>
      <c r="I2645" s="58"/>
      <c r="K2645" s="81"/>
    </row>
    <row r="2646" s="37" customFormat="1" ht="12.75" spans="3:13">
      <c r="C2646" s="64"/>
      <c r="D2646" s="64"/>
      <c r="G2646" s="58"/>
      <c r="H2646" s="59"/>
      <c r="I2646" s="58"/>
      <c r="K2646" s="81"/>
    </row>
    <row r="2647" s="37" customFormat="1" ht="12.75" spans="3:13">
      <c r="C2647" s="64"/>
      <c r="D2647" s="64"/>
      <c r="G2647" s="58"/>
      <c r="H2647" s="59"/>
      <c r="I2647" s="58"/>
      <c r="K2647" s="81"/>
    </row>
    <row r="2648" s="37" customFormat="1" ht="12.75" spans="3:13">
      <c r="C2648" s="64"/>
      <c r="D2648" s="64"/>
      <c r="G2648" s="58"/>
      <c r="H2648" s="59"/>
      <c r="I2648" s="58"/>
      <c r="K2648" s="81"/>
    </row>
    <row r="2649" s="37" customFormat="1" ht="12.75" spans="3:13">
      <c r="C2649" s="64"/>
      <c r="D2649" s="64"/>
      <c r="G2649" s="58"/>
      <c r="H2649" s="59"/>
      <c r="I2649" s="58"/>
      <c r="K2649" s="81"/>
    </row>
    <row r="2650" s="37" customFormat="1" ht="12.75" spans="3:13">
      <c r="C2650" s="64"/>
      <c r="D2650" s="64"/>
      <c r="G2650" s="58"/>
      <c r="H2650" s="59"/>
      <c r="I2650" s="58"/>
      <c r="K2650" s="81"/>
    </row>
    <row r="2651" s="37" customFormat="1" ht="12.75" spans="3:13">
      <c r="C2651" s="64"/>
      <c r="D2651" s="64"/>
      <c r="G2651" s="58"/>
      <c r="H2651" s="59"/>
      <c r="I2651" s="58"/>
      <c r="J2651" s="63"/>
      <c r="K2651" s="47"/>
      <c r="L2651" s="60"/>
      <c r="M2651" s="61"/>
    </row>
    <row r="2652" s="37" customFormat="1" ht="12.75" spans="3:13">
      <c r="C2652" s="64"/>
      <c r="D2652" s="64"/>
      <c r="G2652" s="58"/>
      <c r="H2652" s="59"/>
      <c r="I2652" s="58"/>
      <c r="J2652" s="63"/>
      <c r="K2652" s="81"/>
      <c r="L2652" s="60"/>
      <c r="M2652" s="61"/>
    </row>
    <row r="2653" s="37" customFormat="1" ht="12.75" spans="3:13">
      <c r="C2653" s="64"/>
      <c r="D2653" s="64"/>
      <c r="G2653" s="58"/>
      <c r="H2653" s="59"/>
      <c r="I2653" s="58"/>
      <c r="K2653" s="81"/>
    </row>
    <row r="2654" s="37" customFormat="1" ht="12.75" spans="3:13">
      <c r="C2654" s="64"/>
      <c r="D2654" s="64"/>
      <c r="G2654" s="58"/>
      <c r="H2654" s="59"/>
      <c r="I2654" s="58"/>
      <c r="K2654" s="81"/>
    </row>
    <row r="2655" s="37" customFormat="1" ht="12.75" spans="3:13">
      <c r="C2655" s="64"/>
      <c r="D2655" s="64"/>
      <c r="G2655" s="58"/>
      <c r="H2655" s="59"/>
      <c r="I2655" s="58"/>
      <c r="K2655" s="81"/>
    </row>
    <row r="2656" s="37" customFormat="1" ht="12.75" spans="3:13">
      <c r="C2656" s="64"/>
      <c r="D2656" s="64"/>
      <c r="G2656" s="58"/>
      <c r="H2656" s="59"/>
      <c r="I2656" s="58"/>
      <c r="K2656" s="81"/>
    </row>
    <row r="2657" s="37" customFormat="1" ht="12.75" spans="3:13">
      <c r="C2657" s="64"/>
      <c r="D2657" s="64"/>
      <c r="G2657" s="58"/>
      <c r="H2657" s="59"/>
      <c r="I2657" s="58"/>
      <c r="K2657" s="81"/>
    </row>
    <row r="2658" s="37" customFormat="1" ht="12.75" spans="3:13">
      <c r="C2658" s="64"/>
      <c r="D2658" s="64"/>
      <c r="G2658" s="58"/>
      <c r="H2658" s="59"/>
      <c r="I2658" s="58"/>
      <c r="K2658" s="81"/>
    </row>
    <row r="2659" s="37" customFormat="1" ht="12.75" spans="3:13">
      <c r="C2659" s="64"/>
      <c r="D2659" s="64"/>
      <c r="G2659" s="58"/>
      <c r="H2659" s="59"/>
      <c r="I2659" s="58"/>
      <c r="K2659" s="81"/>
    </row>
    <row r="2660" s="37" customFormat="1" ht="12.75" spans="3:13">
      <c r="C2660" s="64"/>
      <c r="D2660" s="64"/>
      <c r="G2660" s="58"/>
      <c r="H2660" s="59"/>
      <c r="I2660" s="58"/>
      <c r="J2660" s="63"/>
      <c r="K2660" s="47"/>
      <c r="L2660" s="60"/>
      <c r="M2660" s="61"/>
    </row>
    <row r="2661" s="37" customFormat="1" ht="12.75" spans="3:13">
      <c r="C2661" s="64"/>
      <c r="D2661" s="64"/>
      <c r="G2661" s="58"/>
      <c r="H2661" s="59"/>
      <c r="I2661" s="58"/>
      <c r="K2661" s="81"/>
    </row>
    <row r="2662" s="37" customFormat="1" ht="12.75" spans="3:13">
      <c r="C2662" s="64"/>
      <c r="D2662" s="64"/>
      <c r="G2662" s="58"/>
      <c r="H2662" s="59"/>
      <c r="I2662" s="58"/>
      <c r="K2662" s="81"/>
    </row>
    <row r="2663" s="37" customFormat="1" ht="12.75" spans="3:13">
      <c r="C2663" s="64"/>
      <c r="D2663" s="64"/>
      <c r="G2663" s="58"/>
      <c r="H2663" s="59"/>
      <c r="I2663" s="58"/>
      <c r="K2663" s="81"/>
    </row>
    <row r="2664" s="37" customFormat="1" ht="12.75" spans="3:13">
      <c r="C2664" s="64"/>
      <c r="D2664" s="64"/>
      <c r="G2664" s="58"/>
      <c r="H2664" s="59"/>
      <c r="I2664" s="58"/>
      <c r="K2664" s="81"/>
    </row>
    <row r="2665" s="37" customFormat="1" ht="12.75" spans="3:13">
      <c r="C2665" s="64"/>
      <c r="D2665" s="64"/>
      <c r="G2665" s="58"/>
      <c r="H2665" s="59"/>
      <c r="I2665" s="58"/>
      <c r="K2665" s="81"/>
    </row>
    <row r="2666" s="37" customFormat="1" ht="12.75" spans="3:13">
      <c r="C2666" s="64"/>
      <c r="D2666" s="64"/>
      <c r="G2666" s="58"/>
      <c r="H2666" s="59"/>
      <c r="I2666" s="58"/>
      <c r="K2666" s="81"/>
    </row>
    <row r="2667" s="37" customFormat="1" ht="12.75" spans="3:13">
      <c r="C2667" s="64"/>
      <c r="D2667" s="64"/>
      <c r="G2667" s="58"/>
      <c r="H2667" s="59"/>
      <c r="I2667" s="58"/>
      <c r="K2667" s="81"/>
    </row>
    <row r="2668" s="37" customFormat="1" ht="12.75" spans="3:13">
      <c r="C2668" s="64"/>
      <c r="D2668" s="64"/>
      <c r="G2668" s="58"/>
      <c r="H2668" s="59"/>
      <c r="I2668" s="58"/>
      <c r="J2668" s="63"/>
      <c r="K2668" s="47"/>
      <c r="L2668" s="60"/>
      <c r="M2668" s="61"/>
    </row>
    <row r="2669" s="37" customFormat="1" ht="12.75" spans="3:13">
      <c r="C2669" s="64"/>
      <c r="D2669" s="64"/>
      <c r="G2669" s="58"/>
      <c r="H2669" s="59"/>
      <c r="I2669" s="58"/>
      <c r="J2669" s="63"/>
      <c r="K2669" s="81"/>
      <c r="L2669" s="60"/>
      <c r="M2669" s="61"/>
    </row>
    <row r="2670" s="37" customFormat="1" ht="12.75" spans="3:13">
      <c r="C2670" s="64"/>
      <c r="D2670" s="64"/>
      <c r="G2670" s="58"/>
      <c r="H2670" s="59"/>
      <c r="I2670" s="58"/>
      <c r="J2670" s="63"/>
      <c r="K2670" s="81"/>
      <c r="L2670" s="60"/>
      <c r="M2670" s="61"/>
    </row>
    <row r="2671" s="37" customFormat="1" ht="12.75" spans="3:13">
      <c r="C2671" s="64"/>
      <c r="D2671" s="64"/>
      <c r="G2671" s="58"/>
      <c r="H2671" s="59"/>
      <c r="I2671" s="58"/>
      <c r="J2671" s="63"/>
      <c r="K2671" s="47"/>
      <c r="L2671" s="60"/>
      <c r="M2671" s="61"/>
    </row>
    <row r="2672" s="37" customFormat="1" ht="12.75" spans="3:13">
      <c r="C2672" s="64"/>
      <c r="D2672" s="64"/>
      <c r="G2672" s="58"/>
      <c r="H2672" s="59"/>
      <c r="I2672" s="58"/>
      <c r="K2672" s="81"/>
    </row>
    <row r="2673" s="37" customFormat="1" ht="12.75" spans="3:13">
      <c r="C2673" s="64"/>
      <c r="D2673" s="64"/>
      <c r="G2673" s="58"/>
      <c r="H2673" s="59"/>
      <c r="I2673" s="58"/>
      <c r="K2673" s="81"/>
    </row>
    <row r="2674" s="37" customFormat="1" ht="12.75" spans="3:13">
      <c r="C2674" s="64"/>
      <c r="D2674" s="64"/>
      <c r="G2674" s="58"/>
      <c r="H2674" s="59"/>
      <c r="I2674" s="58"/>
      <c r="K2674" s="81"/>
    </row>
    <row r="2675" s="37" customFormat="1" ht="12.75" spans="3:13">
      <c r="C2675" s="64"/>
      <c r="D2675" s="64"/>
      <c r="G2675" s="58"/>
      <c r="H2675" s="59"/>
      <c r="I2675" s="58"/>
      <c r="K2675" s="81"/>
    </row>
    <row r="2676" s="37" customFormat="1" ht="12.75" spans="3:13">
      <c r="C2676" s="64"/>
      <c r="D2676" s="64"/>
      <c r="G2676" s="58"/>
      <c r="H2676" s="59"/>
      <c r="I2676" s="58"/>
      <c r="K2676" s="81"/>
    </row>
    <row r="2677" s="37" customFormat="1" ht="12.75" spans="3:13">
      <c r="C2677" s="64"/>
      <c r="D2677" s="64"/>
      <c r="G2677" s="58"/>
      <c r="H2677" s="59"/>
      <c r="I2677" s="58"/>
      <c r="K2677" s="81"/>
    </row>
    <row r="2678" s="37" customFormat="1" ht="12.75" spans="3:13">
      <c r="C2678" s="64"/>
      <c r="D2678" s="64"/>
      <c r="G2678" s="58"/>
      <c r="H2678" s="59"/>
      <c r="I2678" s="58"/>
      <c r="K2678" s="81"/>
    </row>
    <row r="2679" s="37" customFormat="1" ht="12.75" spans="3:13">
      <c r="C2679" s="64"/>
      <c r="D2679" s="64"/>
      <c r="G2679" s="58"/>
      <c r="H2679" s="59"/>
      <c r="I2679" s="58"/>
      <c r="K2679" s="81"/>
    </row>
    <row r="2680" s="37" customFormat="1" ht="12.75" spans="3:13">
      <c r="C2680" s="64"/>
      <c r="D2680" s="64"/>
      <c r="G2680" s="58"/>
      <c r="H2680" s="59"/>
      <c r="I2680" s="58"/>
      <c r="K2680" s="81"/>
    </row>
    <row r="2681" s="37" customFormat="1" ht="12.75" spans="3:13">
      <c r="C2681" s="64"/>
      <c r="D2681" s="64"/>
      <c r="G2681" s="58"/>
      <c r="H2681" s="59"/>
      <c r="I2681" s="58"/>
      <c r="K2681" s="81"/>
    </row>
    <row r="2682" s="37" customFormat="1" ht="12.75" spans="3:13">
      <c r="C2682" s="64"/>
      <c r="D2682" s="64"/>
      <c r="G2682" s="58"/>
      <c r="H2682" s="59"/>
      <c r="I2682" s="58"/>
      <c r="K2682" s="81"/>
    </row>
    <row r="2683" s="37" customFormat="1" ht="12.75" spans="3:13">
      <c r="C2683" s="64"/>
      <c r="D2683" s="64"/>
      <c r="G2683" s="58"/>
      <c r="H2683" s="59"/>
      <c r="I2683" s="58"/>
      <c r="K2683" s="81"/>
    </row>
    <row r="2684" s="37" customFormat="1" ht="12.75" spans="3:13">
      <c r="C2684" s="64"/>
      <c r="D2684" s="64"/>
      <c r="G2684" s="58"/>
      <c r="H2684" s="59"/>
      <c r="I2684" s="58"/>
      <c r="K2684" s="81"/>
    </row>
    <row r="2685" s="37" customFormat="1" ht="12.75" spans="3:13">
      <c r="C2685" s="64"/>
      <c r="D2685" s="64"/>
      <c r="G2685" s="58"/>
      <c r="H2685" s="59"/>
      <c r="I2685" s="58"/>
      <c r="K2685" s="81"/>
    </row>
    <row r="2686" s="37" customFormat="1" ht="12.75" spans="3:13">
      <c r="C2686" s="64"/>
      <c r="D2686" s="64"/>
      <c r="G2686" s="58"/>
      <c r="H2686" s="59"/>
      <c r="I2686" s="58"/>
      <c r="K2686" s="81"/>
    </row>
    <row r="2687" s="37" customFormat="1" ht="12.75" spans="3:13">
      <c r="C2687" s="64"/>
      <c r="D2687" s="64"/>
      <c r="G2687" s="58"/>
      <c r="H2687" s="59"/>
      <c r="I2687" s="58"/>
      <c r="J2687" s="63"/>
      <c r="K2687" s="81"/>
      <c r="L2687" s="60"/>
      <c r="M2687" s="61"/>
    </row>
    <row r="2688" s="37" customFormat="1" ht="12.75" spans="3:13">
      <c r="C2688" s="64"/>
      <c r="D2688" s="64"/>
      <c r="G2688" s="58"/>
      <c r="H2688" s="59"/>
      <c r="I2688" s="58"/>
      <c r="J2688" s="63"/>
      <c r="K2688" s="81"/>
      <c r="L2688" s="60"/>
      <c r="M2688" s="61"/>
    </row>
    <row r="2689" s="37" customFormat="1" ht="12.75" spans="3:13">
      <c r="C2689" s="64"/>
      <c r="D2689" s="64"/>
      <c r="G2689" s="58"/>
      <c r="H2689" s="59"/>
      <c r="I2689" s="58"/>
      <c r="K2689" s="81"/>
    </row>
    <row r="2690" s="37" customFormat="1" ht="12.75" spans="3:13">
      <c r="C2690" s="64"/>
      <c r="D2690" s="64"/>
      <c r="G2690" s="58"/>
      <c r="H2690" s="59"/>
      <c r="I2690" s="58"/>
      <c r="K2690" s="81"/>
    </row>
    <row r="2691" s="37" customFormat="1" ht="12.75" spans="3:13">
      <c r="C2691" s="64"/>
      <c r="D2691" s="64"/>
      <c r="G2691" s="58"/>
      <c r="H2691" s="59"/>
      <c r="I2691" s="58"/>
      <c r="K2691" s="81"/>
    </row>
    <row r="2692" s="37" customFormat="1" ht="12.75" spans="3:13">
      <c r="G2692" s="58"/>
      <c r="H2692" s="59"/>
      <c r="I2692" s="58"/>
      <c r="K2692" s="81"/>
    </row>
    <row r="2693" s="37" customFormat="1" ht="12.75" spans="3:13">
      <c r="G2693" s="58"/>
      <c r="H2693" s="59"/>
      <c r="I2693" s="58"/>
      <c r="K2693" s="81"/>
    </row>
    <row r="2694" s="37" customFormat="1" ht="12.75" spans="3:13">
      <c r="G2694" s="58"/>
      <c r="H2694" s="59"/>
      <c r="I2694" s="58"/>
      <c r="K2694" s="81"/>
    </row>
    <row r="2695" s="37" customFormat="1" ht="12.75" spans="3:13">
      <c r="G2695" s="58"/>
      <c r="H2695" s="59"/>
      <c r="I2695" s="58"/>
      <c r="K2695" s="81"/>
    </row>
    <row r="2696" s="37" customFormat="1" ht="12.75" spans="3:13">
      <c r="G2696" s="58"/>
      <c r="H2696" s="59"/>
      <c r="I2696" s="58"/>
      <c r="J2696" s="63"/>
      <c r="K2696" s="47"/>
      <c r="L2696" s="60"/>
      <c r="M2696" s="61"/>
    </row>
    <row r="2697" s="37" customFormat="1" ht="12.75" spans="3:13">
      <c r="G2697" s="58"/>
      <c r="H2697" s="59"/>
      <c r="I2697" s="58"/>
      <c r="J2697" s="63"/>
      <c r="K2697" s="81"/>
      <c r="L2697" s="60"/>
      <c r="M2697" s="61"/>
    </row>
    <row r="2698" s="37" customFormat="1" ht="12.75" spans="3:13">
      <c r="G2698" s="58"/>
      <c r="H2698" s="59"/>
      <c r="I2698" s="58"/>
      <c r="K2698" s="81"/>
    </row>
    <row r="2699" s="37" customFormat="1" ht="12.75" spans="3:13">
      <c r="G2699" s="58"/>
      <c r="H2699" s="59"/>
      <c r="I2699" s="58"/>
      <c r="K2699" s="81"/>
    </row>
    <row r="2700" s="37" customFormat="1" ht="12.75" spans="3:13">
      <c r="G2700" s="58"/>
      <c r="H2700" s="59"/>
      <c r="I2700" s="58"/>
      <c r="K2700" s="81"/>
    </row>
    <row r="2701" s="37" customFormat="1" ht="12.75" spans="3:13">
      <c r="G2701" s="58"/>
      <c r="H2701" s="59"/>
      <c r="I2701" s="58"/>
      <c r="K2701" s="81"/>
    </row>
    <row r="2702" s="37" customFormat="1" ht="12.75" spans="3:13">
      <c r="G2702" s="58"/>
      <c r="H2702" s="59"/>
      <c r="I2702" s="58"/>
      <c r="K2702" s="81"/>
    </row>
    <row r="2703" s="37" customFormat="1" ht="12.75" spans="3:13">
      <c r="G2703" s="58"/>
      <c r="H2703" s="59"/>
      <c r="I2703" s="58"/>
      <c r="K2703" s="81"/>
    </row>
    <row r="2704" s="37" customFormat="1" ht="12.75" spans="3:13">
      <c r="G2704" s="58"/>
      <c r="H2704" s="59"/>
      <c r="I2704" s="58"/>
      <c r="K2704" s="81"/>
    </row>
    <row r="2705" s="37" customFormat="1" ht="12.75" spans="7:13">
      <c r="G2705" s="58"/>
      <c r="H2705" s="59"/>
      <c r="I2705" s="58"/>
      <c r="J2705" s="63"/>
      <c r="K2705" s="81"/>
      <c r="L2705" s="60"/>
      <c r="M2705" s="61"/>
    </row>
    <row r="2706" s="37" customFormat="1" ht="12.75" spans="7:13">
      <c r="G2706" s="58"/>
      <c r="H2706" s="59"/>
      <c r="I2706" s="58"/>
      <c r="K2706" s="81"/>
    </row>
    <row r="2707" s="37" customFormat="1" ht="12.75" spans="7:13">
      <c r="G2707" s="58"/>
      <c r="H2707" s="59"/>
      <c r="I2707" s="58"/>
      <c r="K2707" s="81"/>
    </row>
    <row r="2708" s="37" customFormat="1" ht="12.75" spans="7:13">
      <c r="G2708" s="58"/>
      <c r="H2708" s="59"/>
      <c r="I2708" s="58"/>
      <c r="K2708" s="81"/>
    </row>
    <row r="2709" s="37" customFormat="1" ht="12.75" spans="7:13">
      <c r="G2709" s="58"/>
      <c r="H2709" s="59"/>
      <c r="I2709" s="58"/>
      <c r="K2709" s="81"/>
    </row>
    <row r="2710" s="37" customFormat="1" ht="12.75" spans="7:13">
      <c r="G2710" s="58"/>
      <c r="H2710" s="59"/>
      <c r="I2710" s="58"/>
      <c r="K2710" s="81"/>
    </row>
    <row r="2711" s="37" customFormat="1" ht="12.75" spans="7:13">
      <c r="G2711" s="58"/>
      <c r="H2711" s="59"/>
      <c r="I2711" s="58"/>
      <c r="K2711" s="81"/>
    </row>
    <row r="2712" s="37" customFormat="1" ht="12.75" spans="7:13">
      <c r="G2712" s="58"/>
      <c r="H2712" s="59"/>
      <c r="I2712" s="58"/>
      <c r="K2712" s="81"/>
    </row>
    <row r="2713" s="37" customFormat="1" ht="12.75" spans="7:13">
      <c r="G2713" s="58"/>
      <c r="H2713" s="59"/>
      <c r="I2713" s="58"/>
      <c r="J2713" s="63"/>
      <c r="K2713" s="47"/>
      <c r="L2713" s="60"/>
      <c r="M2713" s="61"/>
    </row>
    <row r="2714" s="37" customFormat="1" ht="12.75" spans="7:13">
      <c r="G2714" s="58"/>
      <c r="H2714" s="59"/>
      <c r="I2714" s="58"/>
      <c r="J2714" s="63"/>
      <c r="K2714" s="81"/>
      <c r="L2714" s="60"/>
      <c r="M2714" s="61"/>
    </row>
    <row r="2715" s="37" customFormat="1" ht="12.75" spans="7:13">
      <c r="G2715" s="58"/>
      <c r="H2715" s="59"/>
      <c r="I2715" s="58"/>
      <c r="J2715" s="63"/>
      <c r="K2715" s="81"/>
      <c r="L2715" s="60"/>
      <c r="M2715" s="61"/>
    </row>
    <row r="2716" s="37" customFormat="1" ht="12.75" spans="7:13">
      <c r="G2716" s="58"/>
      <c r="H2716" s="59"/>
      <c r="I2716" s="58"/>
      <c r="K2716" s="81"/>
    </row>
    <row r="2717" s="37" customFormat="1" ht="12.75" spans="7:13">
      <c r="G2717" s="58"/>
      <c r="H2717" s="59"/>
      <c r="I2717" s="58"/>
      <c r="K2717" s="81"/>
    </row>
    <row r="2718" s="37" customFormat="1" ht="12.75" spans="7:13">
      <c r="G2718" s="58"/>
      <c r="H2718" s="59"/>
      <c r="I2718" s="58"/>
      <c r="K2718" s="81"/>
    </row>
    <row r="2719" s="37" customFormat="1" ht="12.75" spans="7:13">
      <c r="G2719" s="58"/>
      <c r="H2719" s="59"/>
      <c r="I2719" s="58"/>
      <c r="K2719" s="81"/>
    </row>
    <row r="2720" s="37" customFormat="1" ht="12.75" spans="7:13">
      <c r="G2720" s="58"/>
      <c r="H2720" s="59"/>
      <c r="I2720" s="58"/>
      <c r="K2720" s="81"/>
    </row>
    <row r="2721" s="37" customFormat="1" ht="12.75" spans="7:13">
      <c r="G2721" s="58"/>
      <c r="H2721" s="59"/>
      <c r="I2721" s="58"/>
      <c r="K2721" s="81"/>
    </row>
    <row r="2722" s="37" customFormat="1" ht="12.75" spans="7:13">
      <c r="G2722" s="58"/>
      <c r="H2722" s="59"/>
      <c r="I2722" s="58"/>
      <c r="K2722" s="81"/>
    </row>
    <row r="2723" s="37" customFormat="1" ht="12.75" spans="7:13">
      <c r="G2723" s="58"/>
      <c r="H2723" s="59"/>
      <c r="I2723" s="58"/>
      <c r="J2723" s="63"/>
      <c r="K2723" s="47"/>
      <c r="L2723" s="60"/>
      <c r="M2723" s="61"/>
    </row>
    <row r="2724" s="37" customFormat="1" ht="12.75" spans="7:13">
      <c r="G2724" s="58"/>
      <c r="H2724" s="59"/>
      <c r="I2724" s="58"/>
      <c r="J2724" s="63"/>
      <c r="K2724" s="81"/>
      <c r="L2724" s="60"/>
      <c r="M2724" s="61"/>
    </row>
    <row r="2725" s="37" customFormat="1" ht="12.75" spans="7:13">
      <c r="G2725" s="58"/>
      <c r="H2725" s="59"/>
      <c r="I2725" s="58"/>
      <c r="J2725" s="63"/>
      <c r="K2725" s="81"/>
      <c r="L2725" s="60"/>
      <c r="M2725" s="61"/>
    </row>
    <row r="2726" s="37" customFormat="1" ht="12.75" spans="7:13">
      <c r="G2726" s="58"/>
      <c r="H2726" s="59"/>
      <c r="I2726" s="58"/>
      <c r="J2726" s="63"/>
      <c r="K2726" s="81"/>
      <c r="L2726" s="60"/>
      <c r="M2726" s="61"/>
    </row>
    <row r="2727" s="37" customFormat="1" ht="12.75" spans="7:13">
      <c r="G2727" s="58"/>
      <c r="H2727" s="59"/>
      <c r="I2727" s="58"/>
      <c r="K2727" s="81"/>
    </row>
    <row r="2728" s="37" customFormat="1" ht="12.75" spans="7:13">
      <c r="G2728" s="58"/>
      <c r="H2728" s="59"/>
      <c r="I2728" s="58"/>
      <c r="K2728" s="81"/>
    </row>
    <row r="2729" s="37" customFormat="1" ht="12.75" spans="7:13">
      <c r="G2729" s="58"/>
      <c r="H2729" s="59"/>
      <c r="I2729" s="58"/>
      <c r="K2729" s="81"/>
    </row>
    <row r="2730" s="37" customFormat="1" ht="12.75" spans="7:13">
      <c r="G2730" s="58"/>
      <c r="H2730" s="59"/>
      <c r="I2730" s="58"/>
      <c r="K2730" s="81"/>
    </row>
    <row r="2731" s="37" customFormat="1" ht="12.75" spans="7:13">
      <c r="G2731" s="58"/>
      <c r="H2731" s="59"/>
      <c r="I2731" s="58"/>
      <c r="K2731" s="81"/>
    </row>
    <row r="2732" s="37" customFormat="1" ht="12.75" spans="7:13">
      <c r="G2732" s="58"/>
      <c r="H2732" s="59"/>
      <c r="I2732" s="58"/>
      <c r="K2732" s="81"/>
    </row>
    <row r="2733" s="37" customFormat="1" ht="12.75" spans="7:13">
      <c r="G2733" s="58"/>
      <c r="H2733" s="59"/>
      <c r="I2733" s="58"/>
      <c r="K2733" s="81"/>
    </row>
    <row r="2734" s="37" customFormat="1" ht="12.75" spans="7:13">
      <c r="G2734" s="58"/>
      <c r="H2734" s="59"/>
      <c r="I2734" s="58"/>
      <c r="J2734" s="63"/>
      <c r="K2734" s="47"/>
      <c r="L2734" s="60"/>
      <c r="M2734" s="61"/>
    </row>
    <row r="2735" s="37" customFormat="1" ht="12.75" spans="7:13">
      <c r="G2735" s="58"/>
      <c r="H2735" s="59"/>
      <c r="I2735" s="58"/>
      <c r="J2735" s="63"/>
      <c r="K2735" s="81"/>
      <c r="L2735" s="60"/>
      <c r="M2735" s="61"/>
    </row>
    <row r="2736" s="37" customFormat="1" ht="12.75" spans="7:13">
      <c r="G2736" s="58"/>
      <c r="H2736" s="59"/>
      <c r="I2736" s="58"/>
      <c r="J2736" s="63"/>
      <c r="K2736" s="81"/>
      <c r="L2736" s="60"/>
      <c r="M2736" s="61"/>
    </row>
    <row r="2737" s="37" customFormat="1" ht="12.75" spans="7:13">
      <c r="G2737" s="58"/>
      <c r="H2737" s="59"/>
      <c r="I2737" s="58"/>
      <c r="K2737" s="81"/>
    </row>
    <row r="2738" s="37" customFormat="1" ht="12.75" spans="7:13">
      <c r="G2738" s="58"/>
      <c r="H2738" s="59"/>
      <c r="I2738" s="58"/>
      <c r="K2738" s="81"/>
    </row>
    <row r="2739" s="37" customFormat="1" ht="12.75" spans="7:13">
      <c r="G2739" s="58"/>
      <c r="H2739" s="59"/>
      <c r="I2739" s="58"/>
      <c r="K2739" s="81"/>
    </row>
    <row r="2740" s="37" customFormat="1" ht="12.75" spans="7:13">
      <c r="G2740" s="58"/>
      <c r="H2740" s="59"/>
      <c r="I2740" s="58"/>
      <c r="K2740" s="81"/>
    </row>
    <row r="2741" s="37" customFormat="1" ht="12.75" spans="7:13">
      <c r="G2741" s="58"/>
      <c r="H2741" s="59"/>
      <c r="I2741" s="58"/>
      <c r="K2741" s="81"/>
    </row>
    <row r="2742" s="37" customFormat="1" ht="12.75" spans="7:13">
      <c r="G2742" s="58"/>
      <c r="H2742" s="59"/>
      <c r="I2742" s="58"/>
      <c r="K2742" s="81"/>
    </row>
    <row r="2743" s="37" customFormat="1" ht="12.75" spans="7:13">
      <c r="G2743" s="58"/>
      <c r="H2743" s="59"/>
      <c r="I2743" s="58"/>
      <c r="K2743" s="81"/>
    </row>
    <row r="2744" s="37" customFormat="1" ht="12.75" spans="7:13">
      <c r="G2744" s="58"/>
      <c r="H2744" s="59"/>
      <c r="I2744" s="58"/>
      <c r="J2744" s="63"/>
      <c r="K2744" s="47"/>
      <c r="L2744" s="60"/>
      <c r="M2744" s="61"/>
    </row>
    <row r="2745" s="37" customFormat="1" ht="12.75" spans="7:13">
      <c r="G2745" s="58"/>
      <c r="H2745" s="59"/>
      <c r="I2745" s="58"/>
      <c r="J2745" s="63"/>
      <c r="K2745" s="81"/>
      <c r="L2745" s="60"/>
      <c r="M2745" s="61"/>
    </row>
    <row r="2746" s="37" customFormat="1" ht="12.75" spans="7:13">
      <c r="G2746" s="58"/>
      <c r="H2746" s="59"/>
      <c r="I2746" s="58"/>
      <c r="J2746" s="63"/>
      <c r="K2746" s="81"/>
      <c r="L2746" s="60"/>
      <c r="M2746" s="61"/>
    </row>
    <row r="2747" s="37" customFormat="1" ht="12.75" spans="7:13">
      <c r="G2747" s="58"/>
      <c r="H2747" s="59"/>
      <c r="I2747" s="58"/>
      <c r="K2747" s="81"/>
    </row>
    <row r="2748" s="37" customFormat="1" ht="12.75" spans="7:13">
      <c r="G2748" s="58"/>
      <c r="H2748" s="59"/>
      <c r="I2748" s="58"/>
      <c r="K2748" s="81"/>
    </row>
    <row r="2749" s="37" customFormat="1" ht="12.75" spans="7:13">
      <c r="G2749" s="58"/>
      <c r="H2749" s="59"/>
      <c r="I2749" s="58"/>
      <c r="K2749" s="81"/>
    </row>
    <row r="2750" s="37" customFormat="1" ht="12.75" spans="7:13">
      <c r="G2750" s="58"/>
      <c r="H2750" s="59"/>
      <c r="I2750" s="58"/>
      <c r="K2750" s="81"/>
    </row>
    <row r="2751" s="37" customFormat="1" ht="12.75" spans="7:13">
      <c r="G2751" s="58"/>
      <c r="H2751" s="59"/>
      <c r="I2751" s="58"/>
      <c r="K2751" s="81"/>
    </row>
    <row r="2752" s="37" customFormat="1" ht="12.75" spans="7:13">
      <c r="G2752" s="58"/>
      <c r="H2752" s="59"/>
      <c r="I2752" s="58"/>
      <c r="K2752" s="81"/>
    </row>
    <row r="2753" s="37" customFormat="1" ht="12.75" spans="7:13">
      <c r="G2753" s="58"/>
      <c r="H2753" s="59"/>
      <c r="I2753" s="58"/>
      <c r="K2753" s="81"/>
    </row>
    <row r="2754" s="37" customFormat="1" ht="12.75" spans="7:13">
      <c r="G2754" s="58"/>
      <c r="H2754" s="59"/>
      <c r="I2754" s="58"/>
      <c r="J2754" s="63"/>
      <c r="K2754" s="47"/>
      <c r="L2754" s="60"/>
      <c r="M2754" s="61"/>
    </row>
    <row r="2755" s="37" customFormat="1" ht="12.75" spans="7:13">
      <c r="G2755" s="58"/>
      <c r="H2755" s="59"/>
      <c r="I2755" s="58"/>
      <c r="J2755" s="63"/>
      <c r="K2755" s="81"/>
      <c r="L2755" s="60"/>
      <c r="M2755" s="61"/>
    </row>
    <row r="2756" s="37" customFormat="1" ht="12.75" spans="7:13">
      <c r="G2756" s="58"/>
      <c r="H2756" s="59"/>
      <c r="I2756" s="58"/>
      <c r="J2756" s="63"/>
      <c r="K2756" s="81"/>
      <c r="L2756" s="60"/>
      <c r="M2756" s="61"/>
    </row>
    <row r="2757" s="37" customFormat="1" ht="12.75" spans="7:13">
      <c r="G2757" s="58"/>
      <c r="H2757" s="59"/>
      <c r="I2757" s="58"/>
      <c r="J2757" s="63"/>
      <c r="K2757" s="47"/>
      <c r="L2757" s="60"/>
      <c r="M2757" s="61"/>
    </row>
    <row r="2758" s="37" customFormat="1" ht="12.75" spans="7:13">
      <c r="G2758" s="58"/>
      <c r="H2758" s="59"/>
      <c r="I2758" s="58"/>
      <c r="K2758" s="81"/>
    </row>
    <row r="2759" s="37" customFormat="1" ht="12.75" spans="7:13">
      <c r="G2759" s="58"/>
      <c r="H2759" s="59"/>
      <c r="I2759" s="58"/>
      <c r="K2759" s="81"/>
    </row>
    <row r="2760" s="37" customFormat="1" ht="12.75" spans="7:13">
      <c r="G2760" s="58"/>
      <c r="H2760" s="59"/>
      <c r="I2760" s="58"/>
      <c r="K2760" s="81"/>
    </row>
    <row r="2761" s="37" customFormat="1" ht="12.75" spans="7:13">
      <c r="G2761" s="58"/>
      <c r="H2761" s="59"/>
      <c r="I2761" s="58"/>
      <c r="K2761" s="81"/>
    </row>
    <row r="2762" s="37" customFormat="1" ht="12.75" spans="7:13">
      <c r="G2762" s="58"/>
      <c r="H2762" s="59"/>
      <c r="I2762" s="58"/>
      <c r="K2762" s="81"/>
    </row>
    <row r="2763" s="37" customFormat="1" ht="12.75" spans="7:13">
      <c r="G2763" s="58"/>
      <c r="H2763" s="59"/>
      <c r="I2763" s="58"/>
      <c r="K2763" s="81"/>
    </row>
    <row r="2764" s="37" customFormat="1" ht="12.75" spans="7:13">
      <c r="G2764" s="58"/>
      <c r="H2764" s="59"/>
      <c r="I2764" s="58"/>
      <c r="K2764" s="81"/>
    </row>
    <row r="2765" s="37" customFormat="1" ht="12.75" spans="7:13">
      <c r="G2765" s="58"/>
      <c r="H2765" s="59"/>
      <c r="I2765" s="58"/>
      <c r="J2765" s="63"/>
      <c r="K2765" s="47"/>
      <c r="L2765" s="60"/>
      <c r="M2765" s="61"/>
    </row>
    <row r="2766" s="37" customFormat="1" ht="12.75" spans="7:13">
      <c r="G2766" s="58"/>
      <c r="H2766" s="59"/>
      <c r="I2766" s="58"/>
      <c r="J2766" s="63"/>
      <c r="K2766" s="81"/>
      <c r="L2766" s="60"/>
      <c r="M2766" s="61"/>
    </row>
    <row r="2767" s="37" customFormat="1" ht="12.75" spans="7:13">
      <c r="G2767" s="58"/>
      <c r="H2767" s="59"/>
      <c r="I2767" s="58"/>
      <c r="K2767" s="81"/>
    </row>
    <row r="2768" s="37" customFormat="1" ht="12.75" spans="7:13">
      <c r="G2768" s="58"/>
      <c r="H2768" s="59"/>
      <c r="I2768" s="58"/>
      <c r="K2768" s="81"/>
    </row>
    <row r="2769" s="37" customFormat="1" ht="12.75" spans="7:14">
      <c r="G2769" s="58"/>
      <c r="H2769" s="59"/>
      <c r="I2769" s="58"/>
      <c r="K2769" s="81"/>
    </row>
    <row r="2770" s="37" customFormat="1" ht="12.75" spans="7:14">
      <c r="G2770" s="58"/>
      <c r="H2770" s="59"/>
      <c r="I2770" s="58"/>
      <c r="K2770" s="81"/>
    </row>
    <row r="2771" s="37" customFormat="1" ht="12.75" spans="7:14">
      <c r="G2771" s="58"/>
      <c r="H2771" s="59"/>
      <c r="I2771" s="58"/>
      <c r="K2771" s="81"/>
    </row>
    <row r="2772" s="37" customFormat="1" ht="12.75" spans="7:14">
      <c r="G2772" s="58"/>
      <c r="H2772" s="59"/>
      <c r="I2772" s="58"/>
      <c r="K2772" s="81"/>
    </row>
    <row r="2773" s="37" customFormat="1" ht="12.75" spans="7:14">
      <c r="G2773" s="58"/>
      <c r="H2773" s="59"/>
      <c r="I2773" s="58"/>
      <c r="K2773" s="81"/>
    </row>
    <row r="2774" s="37" customFormat="1" ht="12.75" spans="7:14">
      <c r="G2774" s="58"/>
      <c r="H2774" s="59"/>
      <c r="I2774" s="58"/>
      <c r="J2774" s="63"/>
      <c r="K2774" s="47"/>
      <c r="L2774" s="60"/>
      <c r="M2774" s="61"/>
    </row>
    <row r="2775" s="37" customFormat="1" ht="12.75" spans="7:14">
      <c r="G2775" s="58"/>
      <c r="H2775" s="59"/>
      <c r="I2775" s="58"/>
      <c r="J2775" s="63"/>
      <c r="K2775" s="81"/>
      <c r="L2775" s="60"/>
      <c r="M2775" s="61"/>
    </row>
    <row r="2776" s="37" customFormat="1" ht="12.75" spans="7:14">
      <c r="G2776" s="58"/>
      <c r="H2776" s="59"/>
      <c r="I2776" s="58"/>
      <c r="J2776" s="63"/>
      <c r="K2776" s="81"/>
      <c r="L2776" s="60"/>
      <c r="M2776" s="61"/>
    </row>
    <row r="2777" s="37" customFormat="1" ht="12.75" spans="7:14">
      <c r="G2777" s="58"/>
      <c r="H2777" s="59"/>
      <c r="I2777" s="58"/>
      <c r="J2777" s="63"/>
      <c r="K2777" s="47"/>
      <c r="L2777" s="60"/>
      <c r="M2777" s="61"/>
    </row>
    <row r="2778" s="37" customFormat="1" ht="12.75" spans="7:14">
      <c r="G2778" s="58"/>
      <c r="H2778" s="59"/>
      <c r="I2778" s="58"/>
      <c r="K2778" s="81"/>
      <c r="N2778" s="62"/>
    </row>
    <row r="2779" s="37" customFormat="1" ht="12.75" spans="7:14">
      <c r="G2779" s="58"/>
      <c r="H2779" s="59"/>
      <c r="I2779" s="58"/>
      <c r="K2779" s="81"/>
      <c r="N2779" s="62"/>
    </row>
    <row r="2780" s="37" customFormat="1" ht="12.75" spans="7:14">
      <c r="G2780" s="58"/>
      <c r="H2780" s="59"/>
      <c r="I2780" s="58"/>
      <c r="K2780" s="81"/>
      <c r="N2780" s="62"/>
    </row>
    <row r="2781" s="37" customFormat="1" ht="12.75" spans="7:14">
      <c r="G2781" s="58"/>
      <c r="H2781" s="59"/>
      <c r="I2781" s="58"/>
      <c r="K2781" s="81"/>
      <c r="N2781" s="62"/>
    </row>
    <row r="2782" s="37" customFormat="1" ht="12.75" spans="7:14">
      <c r="G2782" s="58"/>
      <c r="H2782" s="59"/>
      <c r="I2782" s="58"/>
      <c r="K2782" s="81"/>
      <c r="N2782" s="62"/>
    </row>
    <row r="2783" s="37" customFormat="1" ht="12.75" spans="7:14">
      <c r="G2783" s="58"/>
      <c r="H2783" s="59"/>
      <c r="I2783" s="58"/>
      <c r="K2783" s="81"/>
      <c r="N2783" s="62"/>
    </row>
    <row r="2784" s="37" customFormat="1" ht="12.75" spans="7:14">
      <c r="G2784" s="58"/>
      <c r="H2784" s="59"/>
      <c r="I2784" s="58"/>
      <c r="K2784" s="81"/>
      <c r="N2784" s="62"/>
    </row>
    <row r="2785" s="37" customFormat="1" ht="12.75" spans="7:14">
      <c r="G2785" s="58"/>
      <c r="H2785" s="59"/>
      <c r="I2785" s="58"/>
      <c r="J2785" s="63"/>
      <c r="K2785" s="47"/>
      <c r="L2785" s="60"/>
      <c r="M2785" s="61"/>
      <c r="N2785" s="62"/>
    </row>
    <row r="2786" s="37" customFormat="1" ht="12.75" spans="7:14">
      <c r="G2786" s="58"/>
      <c r="H2786" s="59"/>
      <c r="I2786" s="58"/>
      <c r="J2786" s="63"/>
      <c r="K2786" s="47"/>
      <c r="L2786" s="60"/>
      <c r="M2786" s="61"/>
      <c r="N2786" s="62"/>
    </row>
    <row r="2787" s="37" customFormat="1" ht="12.75" spans="7:14">
      <c r="G2787" s="58"/>
      <c r="H2787" s="59"/>
      <c r="I2787" s="58"/>
      <c r="K2787" s="81"/>
    </row>
    <row r="2788" s="37" customFormat="1" ht="12.75" spans="7:14">
      <c r="G2788" s="58"/>
      <c r="H2788" s="59"/>
      <c r="I2788" s="58"/>
      <c r="K2788" s="81"/>
    </row>
    <row r="2789" s="37" customFormat="1" ht="12.75" spans="7:14">
      <c r="G2789" s="58"/>
      <c r="H2789" s="59"/>
      <c r="I2789" s="58"/>
      <c r="K2789" s="81"/>
    </row>
    <row r="2790" s="37" customFormat="1" ht="12.75" spans="7:14">
      <c r="G2790" s="58"/>
      <c r="H2790" s="59"/>
      <c r="I2790" s="58"/>
      <c r="K2790" s="81"/>
    </row>
    <row r="2791" s="37" customFormat="1" ht="12.75" spans="7:14">
      <c r="G2791" s="58"/>
      <c r="H2791" s="59"/>
      <c r="I2791" s="58"/>
      <c r="K2791" s="81"/>
    </row>
    <row r="2792" s="37" customFormat="1" ht="12.75" spans="7:14">
      <c r="G2792" s="58"/>
      <c r="H2792" s="59"/>
      <c r="I2792" s="58"/>
      <c r="K2792" s="81"/>
    </row>
    <row r="2793" s="37" customFormat="1" ht="12.75" spans="7:14">
      <c r="G2793" s="58"/>
      <c r="H2793" s="59"/>
      <c r="I2793" s="58"/>
      <c r="K2793" s="81"/>
    </row>
    <row r="2794" s="37" customFormat="1" ht="12.75" spans="7:14">
      <c r="G2794" s="58"/>
      <c r="H2794" s="59"/>
      <c r="I2794" s="58"/>
      <c r="J2794" s="63"/>
      <c r="K2794" s="81"/>
      <c r="L2794" s="60"/>
      <c r="M2794" s="61"/>
    </row>
    <row r="2795" s="37" customFormat="1" ht="12.75" spans="7:14">
      <c r="G2795" s="58"/>
      <c r="H2795" s="59"/>
      <c r="I2795" s="58"/>
      <c r="J2795" s="63"/>
      <c r="K2795" s="82"/>
    </row>
    <row r="2796" s="37" customFormat="1" ht="12.75" spans="7:14">
      <c r="G2796" s="58"/>
      <c r="H2796" s="59"/>
      <c r="I2796" s="58"/>
      <c r="J2796" s="63"/>
      <c r="K2796" s="82"/>
    </row>
    <row r="2797" s="37" customFormat="1" ht="12.75" spans="7:14">
      <c r="G2797" s="58"/>
      <c r="H2797" s="59"/>
      <c r="I2797" s="58"/>
      <c r="J2797" s="63"/>
      <c r="K2797" s="82"/>
    </row>
    <row r="2798" s="37" customFormat="1" ht="12.75" spans="7:14">
      <c r="G2798" s="58"/>
      <c r="H2798" s="59"/>
      <c r="I2798" s="58"/>
      <c r="J2798" s="63"/>
      <c r="K2798" s="82"/>
    </row>
    <row r="2799" s="37" customFormat="1" ht="12.75" spans="7:14">
      <c r="G2799" s="58"/>
      <c r="H2799" s="59"/>
      <c r="I2799" s="58"/>
      <c r="J2799" s="63"/>
      <c r="K2799" s="82"/>
    </row>
    <row r="2800" s="37" customFormat="1" ht="12.75" spans="7:14">
      <c r="G2800" s="58"/>
      <c r="H2800" s="59"/>
      <c r="I2800" s="58"/>
      <c r="J2800" s="63"/>
      <c r="K2800" s="82"/>
    </row>
    <row r="2801" s="37" customFormat="1" ht="12.75" spans="1:14">
      <c r="G2801" s="58"/>
      <c r="H2801" s="59"/>
      <c r="I2801" s="58"/>
      <c r="J2801" s="63"/>
      <c r="K2801" s="82"/>
    </row>
    <row r="2802" s="37" customFormat="1" ht="12.75" spans="1:14">
      <c r="G2802" s="58"/>
      <c r="H2802" s="59"/>
      <c r="I2802" s="58"/>
      <c r="J2802" s="63"/>
      <c r="K2802" s="82"/>
    </row>
    <row r="2803" s="37" customFormat="1" ht="12.75" spans="1:14">
      <c r="G2803" s="58"/>
      <c r="H2803" s="59"/>
      <c r="I2803" s="58"/>
      <c r="J2803" s="63"/>
      <c r="K2803" s="82"/>
    </row>
    <row r="2804" s="37" customFormat="1" ht="12.75" spans="1:14">
      <c r="G2804" s="58"/>
      <c r="H2804" s="59"/>
      <c r="I2804" s="58"/>
      <c r="J2804" s="63"/>
      <c r="K2804" s="82"/>
    </row>
    <row r="2805" s="37" customFormat="1" ht="12.75" spans="1:14">
      <c r="G2805" s="58"/>
      <c r="H2805" s="59"/>
      <c r="I2805" s="58"/>
      <c r="J2805" s="63"/>
      <c r="K2805" s="82"/>
    </row>
    <row r="2806" s="37" customFormat="1" ht="12.75" spans="1:14">
      <c r="G2806" s="58"/>
      <c r="H2806" s="59"/>
      <c r="I2806" s="58"/>
      <c r="J2806" s="63"/>
      <c r="K2806" s="82"/>
    </row>
    <row r="2807" s="37" customFormat="1" ht="12.75" spans="1:14">
      <c r="G2807" s="58"/>
      <c r="H2807" s="59"/>
      <c r="I2807" s="58"/>
      <c r="J2807" s="63"/>
      <c r="K2807" s="82"/>
    </row>
    <row r="2808" s="37" customFormat="1" ht="12.75" spans="1:14">
      <c r="G2808" s="58"/>
      <c r="H2808" s="59"/>
      <c r="I2808" s="58"/>
      <c r="J2808" s="63"/>
      <c r="K2808" s="82"/>
    </row>
    <row r="2809" s="37" customFormat="1" ht="12.75" spans="1:14">
      <c r="G2809" s="58"/>
      <c r="H2809" s="59"/>
      <c r="I2809" s="58"/>
      <c r="J2809" s="83"/>
      <c r="K2809" s="84"/>
      <c r="L2809" s="54"/>
      <c r="M2809" s="54"/>
      <c r="N2809" s="54"/>
    </row>
    <row r="2810" s="54" customFormat="1" ht="12.75" spans="1:14">
      <c r="A2810" s="37"/>
      <c r="B2810" s="37"/>
      <c r="C2810" s="37"/>
      <c r="D2810" s="37"/>
      <c r="E2810" s="37"/>
      <c r="F2810" s="37"/>
      <c r="G2810" s="58"/>
      <c r="H2810" s="59"/>
      <c r="I2810" s="58"/>
      <c r="J2810" s="63"/>
      <c r="K2810" s="82"/>
      <c r="L2810" s="37"/>
      <c r="M2810" s="37"/>
      <c r="N2810" s="37"/>
    </row>
    <row r="2811" s="54" customFormat="1" ht="12.75" spans="1:14">
      <c r="A2811" s="37"/>
      <c r="B2811" s="37"/>
      <c r="C2811" s="37"/>
      <c r="D2811" s="37"/>
      <c r="E2811" s="37"/>
      <c r="F2811" s="37"/>
      <c r="G2811" s="58"/>
      <c r="H2811" s="59"/>
      <c r="I2811" s="58"/>
      <c r="J2811" s="83"/>
      <c r="K2811" s="84"/>
    </row>
    <row r="2812" s="54" customFormat="1" ht="12.75" spans="1:14">
      <c r="A2812" s="37"/>
      <c r="B2812" s="37"/>
      <c r="C2812" s="37"/>
      <c r="D2812" s="37"/>
      <c r="E2812" s="37"/>
      <c r="F2812" s="37"/>
      <c r="G2812" s="58"/>
      <c r="H2812" s="59"/>
      <c r="I2812" s="58"/>
      <c r="J2812" s="83"/>
      <c r="K2812" s="84"/>
    </row>
    <row r="2813" s="37" customFormat="1" ht="12.75" spans="1:14">
      <c r="G2813" s="58"/>
      <c r="H2813" s="59"/>
      <c r="I2813" s="58"/>
      <c r="J2813" s="63"/>
      <c r="K2813" s="82"/>
    </row>
    <row r="2814" s="37" customFormat="1" ht="12.75" spans="1:14">
      <c r="G2814" s="58"/>
      <c r="H2814" s="59"/>
      <c r="I2814" s="58"/>
      <c r="J2814" s="63"/>
      <c r="K2814" s="82"/>
    </row>
    <row r="2815" s="37" customFormat="1" ht="12.75" spans="1:14">
      <c r="G2815" s="58"/>
      <c r="H2815" s="59"/>
      <c r="I2815" s="58"/>
      <c r="J2815" s="63"/>
      <c r="K2815" s="82"/>
    </row>
    <row r="2816" s="37" customFormat="1" ht="12.75" spans="1:14">
      <c r="G2816" s="58"/>
      <c r="H2816" s="59"/>
      <c r="I2816" s="58"/>
      <c r="J2816" s="63"/>
      <c r="K2816" s="82"/>
    </row>
    <row r="2817" s="37" customFormat="1" ht="12.75" spans="7:11">
      <c r="G2817" s="58"/>
      <c r="H2817" s="59"/>
      <c r="I2817" s="58"/>
      <c r="J2817" s="63"/>
      <c r="K2817" s="82"/>
    </row>
    <row r="2818" s="37" customFormat="1" ht="12.75" spans="7:11">
      <c r="G2818" s="58"/>
      <c r="H2818" s="59"/>
      <c r="I2818" s="58"/>
      <c r="J2818" s="63"/>
      <c r="K2818" s="82"/>
    </row>
    <row r="2819" s="37" customFormat="1" ht="12.75" spans="7:11">
      <c r="G2819" s="58"/>
      <c r="H2819" s="59"/>
      <c r="I2819" s="58"/>
      <c r="J2819" s="63"/>
      <c r="K2819" s="82"/>
    </row>
    <row r="2820" s="37" customFormat="1" ht="12.75" spans="7:11">
      <c r="G2820" s="58"/>
      <c r="H2820" s="59"/>
      <c r="I2820" s="58"/>
      <c r="J2820" s="63"/>
      <c r="K2820" s="82"/>
    </row>
    <row r="2821" s="37" customFormat="1" ht="12.75" spans="7:11">
      <c r="G2821" s="58"/>
      <c r="H2821" s="59"/>
      <c r="I2821" s="58"/>
      <c r="J2821" s="63"/>
      <c r="K2821" s="82"/>
    </row>
    <row r="2822" s="37" customFormat="1" ht="12.75" spans="7:11">
      <c r="G2822" s="58"/>
      <c r="H2822" s="59"/>
      <c r="I2822" s="58"/>
      <c r="J2822" s="63"/>
      <c r="K2822" s="82"/>
    </row>
    <row r="2823" s="37" customFormat="1" ht="12.75" spans="7:11">
      <c r="G2823" s="58"/>
      <c r="H2823" s="59"/>
      <c r="I2823" s="58"/>
      <c r="J2823" s="63"/>
      <c r="K2823" s="82"/>
    </row>
    <row r="2824" s="37" customFormat="1" ht="12.75" spans="7:11">
      <c r="G2824" s="58"/>
      <c r="H2824" s="59"/>
      <c r="I2824" s="58"/>
      <c r="J2824" s="63"/>
      <c r="K2824" s="82"/>
    </row>
    <row r="2825" s="37" customFormat="1" ht="12.75" spans="7:11">
      <c r="G2825" s="58"/>
      <c r="H2825" s="59"/>
      <c r="I2825" s="58"/>
      <c r="J2825" s="63"/>
      <c r="K2825" s="82"/>
    </row>
    <row r="2826" s="37" customFormat="1" ht="12.75" spans="7:11">
      <c r="G2826" s="58"/>
      <c r="H2826" s="59"/>
      <c r="I2826" s="58"/>
      <c r="J2826" s="63"/>
      <c r="K2826" s="82"/>
    </row>
    <row r="2827" s="37" customFormat="1" ht="12.75" spans="7:11">
      <c r="G2827" s="58"/>
      <c r="H2827" s="59"/>
      <c r="I2827" s="58"/>
      <c r="J2827" s="63"/>
      <c r="K2827" s="82"/>
    </row>
    <row r="2828" s="37" customFormat="1" ht="12.75" spans="7:11">
      <c r="G2828" s="58"/>
      <c r="H2828" s="59"/>
      <c r="I2828" s="58"/>
      <c r="J2828" s="63"/>
      <c r="K2828" s="82"/>
    </row>
    <row r="2829" s="37" customFormat="1" ht="12.75" spans="7:11">
      <c r="G2829" s="58"/>
      <c r="H2829" s="59"/>
      <c r="I2829" s="58"/>
      <c r="J2829" s="63"/>
      <c r="K2829" s="82"/>
    </row>
    <row r="2830" s="37" customFormat="1" ht="12.75" spans="7:11">
      <c r="G2830" s="58"/>
      <c r="H2830" s="59"/>
      <c r="I2830" s="58"/>
      <c r="J2830" s="63"/>
      <c r="K2830" s="82"/>
    </row>
    <row r="2831" s="37" customFormat="1" ht="12.75" spans="7:11">
      <c r="G2831" s="58"/>
      <c r="H2831" s="59"/>
      <c r="I2831" s="58"/>
      <c r="J2831" s="63"/>
      <c r="K2831" s="82"/>
    </row>
    <row r="2832" s="37" customFormat="1" ht="12.75" spans="7:11">
      <c r="G2832" s="58"/>
      <c r="H2832" s="59"/>
      <c r="I2832" s="58"/>
      <c r="J2832" s="63"/>
      <c r="K2832" s="82"/>
    </row>
    <row r="2833" s="37" customFormat="1" ht="12.75" spans="7:11">
      <c r="G2833" s="58"/>
      <c r="H2833" s="59"/>
      <c r="I2833" s="58"/>
      <c r="J2833" s="63"/>
      <c r="K2833" s="82"/>
    </row>
    <row r="2834" s="37" customFormat="1" ht="12.75" spans="7:11">
      <c r="G2834" s="58"/>
      <c r="H2834" s="59"/>
      <c r="I2834" s="58"/>
      <c r="J2834" s="63"/>
      <c r="K2834" s="82"/>
    </row>
    <row r="2835" s="37" customFormat="1" ht="12.75" spans="7:11">
      <c r="G2835" s="58"/>
      <c r="H2835" s="59"/>
      <c r="I2835" s="58"/>
      <c r="J2835" s="63"/>
      <c r="K2835" s="82"/>
    </row>
    <row r="2836" s="37" customFormat="1" ht="12.75" spans="7:11">
      <c r="G2836" s="58"/>
      <c r="H2836" s="59"/>
      <c r="I2836" s="58"/>
      <c r="J2836" s="63"/>
      <c r="K2836" s="82"/>
    </row>
    <row r="2837" s="37" customFormat="1" ht="12.75" spans="7:11">
      <c r="G2837" s="58"/>
      <c r="H2837" s="59"/>
      <c r="I2837" s="58"/>
      <c r="J2837" s="63"/>
      <c r="K2837" s="82"/>
    </row>
    <row r="2838" s="37" customFormat="1" ht="12.75" spans="7:11">
      <c r="G2838" s="58"/>
      <c r="H2838" s="59"/>
      <c r="I2838" s="58"/>
      <c r="J2838" s="63"/>
      <c r="K2838" s="82"/>
    </row>
    <row r="2839" s="37" customFormat="1" ht="12.75" spans="7:11">
      <c r="G2839" s="58"/>
      <c r="H2839" s="59"/>
      <c r="I2839" s="58"/>
      <c r="J2839" s="63"/>
      <c r="K2839" s="82"/>
    </row>
    <row r="2840" s="37" customFormat="1" ht="12.75" spans="7:11">
      <c r="G2840" s="58"/>
      <c r="H2840" s="59"/>
      <c r="I2840" s="58"/>
      <c r="J2840" s="63"/>
      <c r="K2840" s="82"/>
    </row>
    <row r="2841" s="37" customFormat="1" ht="12.75" spans="7:11">
      <c r="G2841" s="58"/>
      <c r="H2841" s="59"/>
      <c r="I2841" s="58"/>
      <c r="J2841" s="63"/>
      <c r="K2841" s="82"/>
    </row>
    <row r="2842" s="37" customFormat="1" ht="12.75" spans="7:11">
      <c r="G2842" s="58"/>
      <c r="H2842" s="59"/>
      <c r="I2842" s="58"/>
      <c r="J2842" s="63"/>
      <c r="K2842" s="82"/>
    </row>
    <row r="2843" s="37" customFormat="1" ht="12.75" spans="7:11">
      <c r="G2843" s="58"/>
      <c r="H2843" s="59"/>
      <c r="I2843" s="58"/>
      <c r="J2843" s="63"/>
      <c r="K2843" s="82"/>
    </row>
    <row r="2844" s="37" customFormat="1" ht="12.75" spans="7:11">
      <c r="G2844" s="58"/>
      <c r="H2844" s="59"/>
      <c r="I2844" s="58"/>
      <c r="J2844" s="63"/>
      <c r="K2844" s="82"/>
    </row>
    <row r="2845" s="37" customFormat="1" ht="12.75" spans="7:11">
      <c r="G2845" s="58"/>
      <c r="H2845" s="59"/>
      <c r="I2845" s="58"/>
      <c r="J2845" s="63"/>
      <c r="K2845" s="82"/>
    </row>
    <row r="2846" s="37" customFormat="1" ht="12.75" spans="7:11">
      <c r="G2846" s="58"/>
      <c r="H2846" s="59"/>
      <c r="I2846" s="58"/>
      <c r="J2846" s="63"/>
      <c r="K2846" s="82"/>
    </row>
    <row r="2847" s="37" customFormat="1" ht="12.75" spans="7:11">
      <c r="G2847" s="58"/>
      <c r="H2847" s="59"/>
      <c r="I2847" s="58"/>
      <c r="J2847" s="63"/>
      <c r="K2847" s="82"/>
    </row>
    <row r="2848" s="37" customFormat="1" ht="12.75" spans="7:11">
      <c r="G2848" s="58"/>
      <c r="H2848" s="59"/>
      <c r="I2848" s="58"/>
      <c r="J2848" s="63"/>
      <c r="K2848" s="82"/>
    </row>
    <row r="2849" s="37" customFormat="1" ht="12.75" spans="1:11">
      <c r="G2849" s="58"/>
      <c r="H2849" s="59"/>
      <c r="I2849" s="58"/>
      <c r="J2849" s="63"/>
      <c r="K2849" s="82"/>
    </row>
    <row r="2850" s="37" customFormat="1" ht="12.75" spans="1:11">
      <c r="G2850" s="58"/>
      <c r="H2850" s="59"/>
      <c r="I2850" s="58"/>
      <c r="J2850" s="63"/>
      <c r="K2850" s="82"/>
    </row>
    <row r="2851" s="37" customFormat="1" ht="12.75" spans="1:11">
      <c r="G2851" s="58"/>
      <c r="H2851" s="59"/>
      <c r="I2851" s="58"/>
      <c r="J2851" s="63"/>
      <c r="K2851" s="82"/>
    </row>
    <row r="2852" s="37" customFormat="1" ht="12.75" spans="1:11">
      <c r="G2852" s="58"/>
      <c r="H2852" s="59"/>
      <c r="I2852" s="58"/>
      <c r="J2852" s="63"/>
      <c r="K2852" s="82"/>
    </row>
    <row r="2853" s="37" customFormat="1" ht="12.75" spans="1:11">
      <c r="G2853" s="58"/>
      <c r="H2853" s="59"/>
      <c r="I2853" s="58"/>
      <c r="J2853" s="63"/>
      <c r="K2853" s="82"/>
    </row>
    <row r="2854" s="54" customFormat="1" ht="12.75" spans="1:11">
      <c r="A2854" s="37"/>
      <c r="B2854" s="37"/>
      <c r="C2854" s="37"/>
      <c r="D2854" s="37"/>
      <c r="E2854" s="37"/>
      <c r="F2854" s="37"/>
      <c r="G2854" s="58"/>
      <c r="H2854" s="59"/>
      <c r="I2854" s="58"/>
      <c r="J2854" s="83"/>
      <c r="K2854" s="84"/>
    </row>
    <row r="2855" s="54" customFormat="1" ht="12.75" spans="1:11">
      <c r="A2855" s="37"/>
      <c r="B2855" s="37"/>
      <c r="C2855" s="37"/>
      <c r="D2855" s="37"/>
      <c r="E2855" s="37"/>
      <c r="F2855" s="37"/>
      <c r="G2855" s="58"/>
      <c r="H2855" s="59"/>
      <c r="I2855" s="58"/>
      <c r="J2855" s="83"/>
      <c r="K2855" s="84"/>
    </row>
    <row r="2856" s="54" customFormat="1" ht="12.75" spans="1:11">
      <c r="A2856" s="37"/>
      <c r="B2856" s="37"/>
      <c r="C2856" s="37"/>
      <c r="D2856" s="37"/>
      <c r="E2856" s="37"/>
      <c r="F2856" s="37"/>
      <c r="G2856" s="58"/>
      <c r="H2856" s="59"/>
      <c r="I2856" s="58"/>
      <c r="J2856" s="83"/>
      <c r="K2856" s="84"/>
    </row>
    <row r="2857" s="54" customFormat="1" ht="12.75" spans="1:11">
      <c r="A2857" s="37"/>
      <c r="B2857" s="37"/>
      <c r="C2857" s="37"/>
      <c r="D2857" s="37"/>
      <c r="E2857" s="37"/>
      <c r="F2857" s="37"/>
      <c r="G2857" s="58"/>
      <c r="H2857" s="59"/>
      <c r="I2857" s="58"/>
      <c r="J2857" s="83"/>
      <c r="K2857" s="84"/>
    </row>
    <row r="2858" s="54" customFormat="1" ht="12.75" spans="1:11">
      <c r="A2858" s="37"/>
      <c r="B2858" s="37"/>
      <c r="C2858" s="37"/>
      <c r="D2858" s="37"/>
      <c r="E2858" s="37"/>
      <c r="F2858" s="37"/>
      <c r="G2858" s="58"/>
      <c r="H2858" s="59"/>
      <c r="I2858" s="58"/>
      <c r="J2858" s="83"/>
      <c r="K2858" s="84"/>
    </row>
    <row r="2859" s="54" customFormat="1" ht="12.75" spans="1:11">
      <c r="A2859" s="37"/>
      <c r="B2859" s="37"/>
      <c r="C2859" s="37"/>
      <c r="D2859" s="37"/>
      <c r="E2859" s="37"/>
      <c r="F2859" s="37"/>
      <c r="G2859" s="58"/>
      <c r="H2859" s="59"/>
      <c r="I2859" s="58"/>
      <c r="J2859" s="83"/>
      <c r="K2859" s="84"/>
    </row>
    <row r="2860" s="37" customFormat="1" ht="12.75" spans="1:11">
      <c r="G2860" s="58"/>
      <c r="H2860" s="59"/>
      <c r="I2860" s="58"/>
      <c r="J2860" s="63"/>
      <c r="K2860" s="82"/>
    </row>
    <row r="2861" s="37" customFormat="1" ht="12.75" spans="1:11">
      <c r="G2861" s="58"/>
      <c r="H2861" s="59"/>
      <c r="I2861" s="58"/>
      <c r="J2861" s="63"/>
      <c r="K2861" s="82"/>
    </row>
    <row r="2862" s="37" customFormat="1" ht="12.75" spans="1:11">
      <c r="G2862" s="58"/>
      <c r="H2862" s="59"/>
      <c r="I2862" s="58"/>
      <c r="J2862" s="63"/>
      <c r="K2862" s="82"/>
    </row>
    <row r="2863" s="37" customFormat="1" ht="12.75" spans="1:11">
      <c r="G2863" s="58"/>
      <c r="H2863" s="59"/>
      <c r="I2863" s="58"/>
      <c r="J2863" s="63"/>
      <c r="K2863" s="82"/>
    </row>
    <row r="2864" s="37" customFormat="1" ht="12.75" spans="1:11">
      <c r="G2864" s="58"/>
      <c r="H2864" s="59"/>
      <c r="I2864" s="58"/>
      <c r="J2864" s="63"/>
      <c r="K2864" s="82"/>
    </row>
    <row r="2865" s="37" customFormat="1" ht="12.75" spans="7:11">
      <c r="G2865" s="58"/>
      <c r="H2865" s="59"/>
      <c r="I2865" s="58"/>
      <c r="J2865" s="63"/>
      <c r="K2865" s="82"/>
    </row>
    <row r="2866" s="37" customFormat="1" ht="12.75" spans="7:11">
      <c r="G2866" s="58"/>
      <c r="H2866" s="59"/>
      <c r="I2866" s="58"/>
      <c r="J2866" s="63"/>
      <c r="K2866" s="82"/>
    </row>
    <row r="2867" s="37" customFormat="1" ht="12.75" spans="7:11">
      <c r="G2867" s="58"/>
      <c r="H2867" s="59"/>
      <c r="I2867" s="58"/>
      <c r="J2867" s="63"/>
      <c r="K2867" s="82"/>
    </row>
    <row r="2868" s="37" customFormat="1" ht="12.75" spans="7:11">
      <c r="G2868" s="58"/>
      <c r="H2868" s="59"/>
      <c r="I2868" s="58"/>
      <c r="J2868" s="63"/>
      <c r="K2868" s="82"/>
    </row>
    <row r="2869" s="37" customFormat="1" ht="12.75" spans="7:11">
      <c r="G2869" s="58"/>
      <c r="H2869" s="59"/>
      <c r="I2869" s="58"/>
      <c r="J2869" s="63"/>
      <c r="K2869" s="82"/>
    </row>
    <row r="2870" s="37" customFormat="1" ht="12.75" spans="7:11">
      <c r="G2870" s="58"/>
      <c r="H2870" s="59"/>
      <c r="I2870" s="58"/>
      <c r="J2870" s="63"/>
      <c r="K2870" s="82"/>
    </row>
    <row r="2871" s="37" customFormat="1" ht="12.75" spans="7:11">
      <c r="G2871" s="58"/>
      <c r="H2871" s="59"/>
      <c r="I2871" s="58"/>
      <c r="J2871" s="63"/>
      <c r="K2871" s="82"/>
    </row>
    <row r="2872" s="37" customFormat="1" ht="12.75" spans="7:11">
      <c r="G2872" s="58"/>
      <c r="H2872" s="59"/>
      <c r="I2872" s="58"/>
      <c r="J2872" s="63"/>
      <c r="K2872" s="82"/>
    </row>
    <row r="2873" s="37" customFormat="1" ht="12.75" spans="7:11">
      <c r="G2873" s="58"/>
      <c r="H2873" s="59"/>
      <c r="I2873" s="58"/>
      <c r="J2873" s="63"/>
      <c r="K2873" s="82"/>
    </row>
    <row r="2874" s="37" customFormat="1" ht="12.75" spans="7:11">
      <c r="G2874" s="58"/>
      <c r="H2874" s="59"/>
      <c r="I2874" s="58"/>
      <c r="J2874" s="63"/>
      <c r="K2874" s="82"/>
    </row>
    <row r="2875" s="37" customFormat="1" ht="12.75" spans="7:11">
      <c r="G2875" s="58"/>
      <c r="H2875" s="59"/>
      <c r="I2875" s="58"/>
      <c r="J2875" s="63"/>
      <c r="K2875" s="82"/>
    </row>
    <row r="2876" s="37" customFormat="1" ht="12.75" spans="7:11">
      <c r="G2876" s="58"/>
      <c r="H2876" s="59"/>
      <c r="I2876" s="58"/>
      <c r="J2876" s="63"/>
      <c r="K2876" s="82"/>
    </row>
    <row r="2877" s="37" customFormat="1" ht="12.75" spans="7:11">
      <c r="G2877" s="58"/>
      <c r="H2877" s="59"/>
      <c r="I2877" s="58"/>
      <c r="J2877" s="63"/>
      <c r="K2877" s="82"/>
    </row>
    <row r="2878" s="37" customFormat="1" ht="12.75" spans="7:11">
      <c r="G2878" s="58"/>
      <c r="H2878" s="59"/>
      <c r="I2878" s="58"/>
      <c r="J2878" s="63"/>
      <c r="K2878" s="82"/>
    </row>
    <row r="2879" s="37" customFormat="1" ht="12.75" spans="7:11">
      <c r="G2879" s="58"/>
      <c r="H2879" s="59"/>
      <c r="I2879" s="58"/>
      <c r="J2879" s="63"/>
      <c r="K2879" s="82"/>
    </row>
    <row r="2880" s="37" customFormat="1" ht="12.75" spans="7:11">
      <c r="G2880" s="58"/>
      <c r="H2880" s="59"/>
      <c r="I2880" s="58"/>
      <c r="J2880" s="63"/>
      <c r="K2880" s="82"/>
    </row>
    <row r="2881" s="37" customFormat="1" ht="12.75" spans="1:11">
      <c r="G2881" s="58"/>
      <c r="H2881" s="59"/>
      <c r="I2881" s="58"/>
      <c r="J2881" s="63"/>
      <c r="K2881" s="82"/>
    </row>
    <row r="2882" s="37" customFormat="1" ht="12.75" spans="1:11">
      <c r="G2882" s="58"/>
      <c r="H2882" s="59"/>
      <c r="I2882" s="58"/>
      <c r="J2882" s="63"/>
      <c r="K2882" s="82"/>
    </row>
    <row r="2883" s="37" customFormat="1" ht="12.75" spans="1:11">
      <c r="G2883" s="58"/>
      <c r="H2883" s="59"/>
      <c r="I2883" s="58"/>
      <c r="J2883" s="63"/>
      <c r="K2883" s="82"/>
    </row>
    <row r="2884" s="37" customFormat="1" ht="12.75" spans="1:11">
      <c r="G2884" s="58"/>
      <c r="H2884" s="59"/>
      <c r="I2884" s="58"/>
      <c r="J2884" s="63"/>
      <c r="K2884" s="82"/>
    </row>
    <row r="2885" s="54" customFormat="1" ht="12.75" spans="1:11">
      <c r="A2885" s="37"/>
      <c r="B2885" s="37"/>
      <c r="C2885" s="37"/>
      <c r="D2885" s="37"/>
      <c r="E2885" s="37"/>
      <c r="F2885" s="37"/>
      <c r="G2885" s="58"/>
      <c r="H2885" s="59"/>
      <c r="I2885" s="58"/>
      <c r="J2885" s="83"/>
      <c r="K2885" s="84"/>
    </row>
    <row r="2886" s="54" customFormat="1" ht="12.75" spans="1:11">
      <c r="A2886" s="37"/>
      <c r="B2886" s="37"/>
      <c r="C2886" s="37"/>
      <c r="D2886" s="37"/>
      <c r="E2886" s="37"/>
      <c r="F2886" s="37"/>
      <c r="G2886" s="58"/>
      <c r="H2886" s="59"/>
      <c r="I2886" s="58"/>
      <c r="J2886" s="83"/>
      <c r="K2886" s="84"/>
    </row>
    <row r="2887" s="54" customFormat="1" ht="12.75" spans="1:11">
      <c r="A2887" s="37"/>
      <c r="B2887" s="37"/>
      <c r="C2887" s="37"/>
      <c r="D2887" s="37"/>
      <c r="E2887" s="37"/>
      <c r="F2887" s="37"/>
      <c r="G2887" s="58"/>
      <c r="H2887" s="59"/>
      <c r="I2887" s="58"/>
      <c r="J2887" s="83"/>
      <c r="K2887" s="84"/>
    </row>
    <row r="2888" s="54" customFormat="1" ht="12.75" spans="1:11">
      <c r="A2888" s="37"/>
      <c r="B2888" s="37"/>
      <c r="C2888" s="37"/>
      <c r="D2888" s="37"/>
      <c r="E2888" s="37"/>
      <c r="F2888" s="37"/>
      <c r="G2888" s="58"/>
      <c r="H2888" s="59"/>
      <c r="I2888" s="58"/>
      <c r="J2888" s="83"/>
      <c r="K2888" s="84"/>
    </row>
    <row r="2889" s="54" customFormat="1" ht="12.75" spans="1:11">
      <c r="A2889" s="37"/>
      <c r="B2889" s="37"/>
      <c r="C2889" s="37"/>
      <c r="D2889" s="37"/>
      <c r="E2889" s="37"/>
      <c r="F2889" s="37"/>
      <c r="G2889" s="58"/>
      <c r="H2889" s="59"/>
      <c r="I2889" s="58"/>
      <c r="J2889" s="83"/>
      <c r="K2889" s="84"/>
    </row>
    <row r="2890" s="37" customFormat="1" ht="12.75" spans="1:11">
      <c r="G2890" s="58"/>
      <c r="H2890" s="59"/>
      <c r="I2890" s="58"/>
      <c r="J2890" s="63"/>
      <c r="K2890" s="82"/>
    </row>
    <row r="2891" s="37" customFormat="1" ht="12.75" spans="1:11">
      <c r="G2891" s="58"/>
      <c r="H2891" s="59"/>
      <c r="I2891" s="58"/>
      <c r="J2891" s="63"/>
      <c r="K2891" s="82"/>
    </row>
    <row r="2892" s="37" customFormat="1" ht="12.75" spans="1:11">
      <c r="G2892" s="58"/>
      <c r="H2892" s="59"/>
      <c r="I2892" s="58"/>
      <c r="J2892" s="63"/>
      <c r="K2892" s="82"/>
    </row>
    <row r="2893" s="37" customFormat="1" ht="12.75" spans="1:11">
      <c r="G2893" s="58"/>
      <c r="H2893" s="59"/>
      <c r="I2893" s="58"/>
      <c r="J2893" s="63"/>
      <c r="K2893" s="82"/>
    </row>
    <row r="2894" s="37" customFormat="1" ht="12.75" spans="1:11">
      <c r="G2894" s="58"/>
      <c r="H2894" s="59"/>
      <c r="I2894" s="58"/>
      <c r="J2894" s="63"/>
      <c r="K2894" s="82"/>
    </row>
    <row r="2895" s="37" customFormat="1" ht="12.75" spans="1:11">
      <c r="G2895" s="58"/>
      <c r="H2895" s="59"/>
      <c r="I2895" s="58"/>
      <c r="J2895" s="63"/>
      <c r="K2895" s="82"/>
    </row>
    <row r="2896" s="37" customFormat="1" ht="12.75" spans="1:11">
      <c r="G2896" s="58"/>
      <c r="H2896" s="59"/>
      <c r="I2896" s="58"/>
      <c r="J2896" s="63"/>
      <c r="K2896" s="82"/>
    </row>
    <row r="2897" s="37" customFormat="1" ht="12.75" spans="7:11">
      <c r="G2897" s="58"/>
      <c r="H2897" s="59"/>
      <c r="I2897" s="58"/>
      <c r="J2897" s="63"/>
      <c r="K2897" s="82"/>
    </row>
    <row r="2898" s="37" customFormat="1" ht="12.75" spans="7:11">
      <c r="G2898" s="58"/>
      <c r="H2898" s="59"/>
      <c r="I2898" s="58"/>
      <c r="J2898" s="63"/>
      <c r="K2898" s="82"/>
    </row>
    <row r="2899" s="37" customFormat="1" ht="12.75" spans="7:11">
      <c r="G2899" s="58"/>
      <c r="H2899" s="59"/>
      <c r="I2899" s="58"/>
      <c r="J2899" s="63"/>
      <c r="K2899" s="82"/>
    </row>
    <row r="2900" s="37" customFormat="1" ht="12.75" spans="7:11">
      <c r="G2900" s="58"/>
      <c r="H2900" s="59"/>
      <c r="I2900" s="58"/>
      <c r="J2900" s="63"/>
      <c r="K2900" s="82"/>
    </row>
    <row r="2901" s="37" customFormat="1" ht="12.75" spans="7:11">
      <c r="G2901" s="58"/>
      <c r="H2901" s="59"/>
      <c r="I2901" s="58"/>
      <c r="J2901" s="63"/>
      <c r="K2901" s="82"/>
    </row>
    <row r="2902" s="37" customFormat="1" ht="12.75" spans="7:11">
      <c r="G2902" s="58"/>
      <c r="H2902" s="59"/>
      <c r="I2902" s="58"/>
      <c r="J2902" s="63"/>
      <c r="K2902" s="82"/>
    </row>
    <row r="2903" s="37" customFormat="1" ht="12.75" spans="7:11">
      <c r="G2903" s="58"/>
      <c r="H2903" s="59"/>
      <c r="I2903" s="58"/>
      <c r="J2903" s="63"/>
      <c r="K2903" s="82"/>
    </row>
    <row r="2904" s="37" customFormat="1" ht="12.75" spans="7:11">
      <c r="G2904" s="58"/>
      <c r="H2904" s="59"/>
      <c r="I2904" s="58"/>
      <c r="J2904" s="63"/>
      <c r="K2904" s="82"/>
    </row>
    <row r="2905" s="37" customFormat="1" ht="12.75" spans="7:11">
      <c r="G2905" s="58"/>
      <c r="H2905" s="59"/>
      <c r="I2905" s="58"/>
      <c r="J2905" s="63"/>
      <c r="K2905" s="82"/>
    </row>
    <row r="2906" s="37" customFormat="1" ht="12.75" spans="7:11">
      <c r="G2906" s="58"/>
      <c r="H2906" s="59"/>
      <c r="I2906" s="58"/>
      <c r="J2906" s="63"/>
      <c r="K2906" s="82"/>
    </row>
    <row r="2907" s="37" customFormat="1" ht="12.75" spans="7:11">
      <c r="G2907" s="58"/>
      <c r="H2907" s="59"/>
      <c r="I2907" s="58"/>
      <c r="J2907" s="63"/>
      <c r="K2907" s="82"/>
    </row>
    <row r="2908" s="37" customFormat="1" ht="12.75" spans="7:11">
      <c r="G2908" s="58"/>
      <c r="H2908" s="59"/>
      <c r="I2908" s="58"/>
      <c r="J2908" s="63"/>
      <c r="K2908" s="82"/>
    </row>
    <row r="2909" s="37" customFormat="1" ht="12.75" spans="7:11">
      <c r="G2909" s="58"/>
      <c r="H2909" s="59"/>
      <c r="I2909" s="58"/>
      <c r="J2909" s="63"/>
      <c r="K2909" s="82"/>
    </row>
    <row r="2910" s="37" customFormat="1" ht="12.75" spans="7:11">
      <c r="G2910" s="58"/>
      <c r="H2910" s="59"/>
      <c r="I2910" s="58"/>
      <c r="J2910" s="63"/>
      <c r="K2910" s="82"/>
    </row>
    <row r="2911" s="37" customFormat="1" ht="12.75" spans="7:11">
      <c r="G2911" s="58"/>
      <c r="H2911" s="59"/>
      <c r="I2911" s="58"/>
      <c r="J2911" s="63"/>
      <c r="K2911" s="82"/>
    </row>
    <row r="2912" s="37" customFormat="1" ht="12.75" spans="7:11">
      <c r="G2912" s="58"/>
      <c r="H2912" s="59"/>
      <c r="I2912" s="58"/>
      <c r="J2912" s="63"/>
      <c r="K2912" s="82"/>
    </row>
    <row r="2913" s="37" customFormat="1" ht="12.75" spans="7:11">
      <c r="G2913" s="58"/>
      <c r="H2913" s="59"/>
      <c r="I2913" s="58"/>
      <c r="J2913" s="63"/>
      <c r="K2913" s="82"/>
    </row>
    <row r="2914" s="37" customFormat="1" ht="12.75" spans="7:11">
      <c r="G2914" s="58"/>
      <c r="H2914" s="59"/>
      <c r="I2914" s="58"/>
      <c r="J2914" s="63"/>
      <c r="K2914" s="82"/>
    </row>
    <row r="2915" s="37" customFormat="1" ht="12.75" spans="7:11">
      <c r="G2915" s="58"/>
      <c r="H2915" s="59"/>
      <c r="I2915" s="58"/>
      <c r="J2915" s="63"/>
      <c r="K2915" s="82"/>
    </row>
    <row r="2916" s="37" customFormat="1" ht="12.75" spans="7:11">
      <c r="G2916" s="58"/>
      <c r="H2916" s="59"/>
      <c r="I2916" s="58"/>
      <c r="J2916" s="63"/>
      <c r="K2916" s="82"/>
    </row>
    <row r="2917" s="37" customFormat="1" ht="12.75" spans="7:11">
      <c r="G2917" s="58"/>
      <c r="H2917" s="59"/>
      <c r="I2917" s="58"/>
      <c r="J2917" s="63"/>
      <c r="K2917" s="82"/>
    </row>
    <row r="2918" s="37" customFormat="1" ht="12.75" spans="7:11">
      <c r="G2918" s="58"/>
      <c r="H2918" s="59"/>
      <c r="I2918" s="58"/>
      <c r="J2918" s="63"/>
      <c r="K2918" s="82"/>
    </row>
    <row r="2919" s="37" customFormat="1" ht="12.75" spans="7:11">
      <c r="G2919" s="58"/>
      <c r="H2919" s="59"/>
      <c r="I2919" s="58"/>
      <c r="J2919" s="63"/>
      <c r="K2919" s="82"/>
    </row>
    <row r="2920" s="37" customFormat="1" ht="12.75" spans="7:11">
      <c r="G2920" s="58"/>
      <c r="H2920" s="59"/>
      <c r="I2920" s="58"/>
      <c r="J2920" s="63"/>
      <c r="K2920" s="82"/>
    </row>
    <row r="2921" s="37" customFormat="1" ht="12.75" spans="7:11">
      <c r="G2921" s="58"/>
      <c r="H2921" s="59"/>
      <c r="I2921" s="58"/>
      <c r="J2921" s="63"/>
      <c r="K2921" s="82"/>
    </row>
    <row r="2922" s="37" customFormat="1" ht="12.75" spans="7:11">
      <c r="G2922" s="58"/>
      <c r="H2922" s="59"/>
      <c r="I2922" s="58"/>
      <c r="J2922" s="63"/>
      <c r="K2922" s="82"/>
    </row>
    <row r="2923" s="37" customFormat="1" ht="12.75" spans="7:11">
      <c r="G2923" s="58"/>
      <c r="H2923" s="59"/>
      <c r="I2923" s="58"/>
      <c r="J2923" s="63"/>
      <c r="K2923" s="82"/>
    </row>
    <row r="2924" s="37" customFormat="1" ht="12.75" spans="7:11">
      <c r="G2924" s="58"/>
      <c r="H2924" s="59"/>
      <c r="I2924" s="58"/>
      <c r="J2924" s="63"/>
      <c r="K2924" s="82"/>
    </row>
    <row r="2925" s="37" customFormat="1" ht="12.75" spans="7:11">
      <c r="G2925" s="58"/>
      <c r="H2925" s="59"/>
      <c r="I2925" s="58"/>
      <c r="J2925" s="63"/>
      <c r="K2925" s="82"/>
    </row>
    <row r="2926" s="37" customFormat="1" ht="12.75" spans="7:11">
      <c r="G2926" s="58"/>
      <c r="H2926" s="59"/>
      <c r="I2926" s="58"/>
      <c r="J2926" s="63"/>
      <c r="K2926" s="82"/>
    </row>
    <row r="2927" s="37" customFormat="1" ht="12.75" spans="7:11">
      <c r="G2927" s="58"/>
      <c r="H2927" s="59"/>
      <c r="I2927" s="58"/>
      <c r="J2927" s="63"/>
      <c r="K2927" s="82"/>
    </row>
    <row r="2928" s="37" customFormat="1" ht="12.75" spans="7:11">
      <c r="G2928" s="58"/>
      <c r="H2928" s="59"/>
      <c r="I2928" s="58"/>
      <c r="J2928" s="63"/>
      <c r="K2928" s="82"/>
    </row>
    <row r="2929" s="37" customFormat="1" ht="12.75" spans="7:11">
      <c r="G2929" s="58"/>
      <c r="H2929" s="59"/>
      <c r="I2929" s="58"/>
      <c r="J2929" s="63"/>
      <c r="K2929" s="82"/>
    </row>
    <row r="2930" s="37" customFormat="1" ht="12.75" spans="7:11">
      <c r="G2930" s="58"/>
      <c r="H2930" s="59"/>
      <c r="I2930" s="58"/>
      <c r="J2930" s="63"/>
      <c r="K2930" s="82"/>
    </row>
    <row r="2931" s="37" customFormat="1" ht="12.75" spans="7:11">
      <c r="G2931" s="58"/>
      <c r="H2931" s="59"/>
      <c r="I2931" s="58"/>
      <c r="J2931" s="63"/>
      <c r="K2931" s="82"/>
    </row>
    <row r="2932" s="37" customFormat="1" ht="12.75" spans="7:11">
      <c r="G2932" s="58"/>
      <c r="H2932" s="59"/>
      <c r="I2932" s="58"/>
      <c r="J2932" s="63"/>
      <c r="K2932" s="82"/>
    </row>
    <row r="2933" s="37" customFormat="1" ht="12.75" spans="7:11">
      <c r="G2933" s="58"/>
      <c r="H2933" s="59"/>
      <c r="I2933" s="58"/>
      <c r="J2933" s="63"/>
      <c r="K2933" s="82"/>
    </row>
    <row r="2934" s="37" customFormat="1" ht="12.75" spans="7:11">
      <c r="G2934" s="58"/>
      <c r="H2934" s="59"/>
      <c r="I2934" s="58"/>
      <c r="J2934" s="63"/>
      <c r="K2934" s="82"/>
    </row>
    <row r="2935" s="37" customFormat="1" ht="12.75" spans="7:11">
      <c r="G2935" s="58"/>
      <c r="H2935" s="59"/>
      <c r="I2935" s="58"/>
      <c r="J2935" s="63"/>
      <c r="K2935" s="82"/>
    </row>
    <row r="2936" s="37" customFormat="1" ht="12.75" spans="7:11">
      <c r="G2936" s="58"/>
      <c r="H2936" s="59"/>
      <c r="I2936" s="58"/>
      <c r="J2936" s="63"/>
      <c r="K2936" s="85"/>
    </row>
    <row r="2937" s="37" customFormat="1" ht="12.75" spans="7:11">
      <c r="G2937" s="58"/>
      <c r="H2937" s="59"/>
      <c r="I2937" s="58"/>
      <c r="J2937" s="63"/>
      <c r="K2937" s="85"/>
    </row>
    <row r="2938" s="37" customFormat="1" ht="12.75" spans="7:11">
      <c r="G2938" s="58"/>
      <c r="H2938" s="59"/>
      <c r="I2938" s="58"/>
      <c r="J2938" s="63"/>
      <c r="K2938" s="85"/>
    </row>
    <row r="2939" s="37" customFormat="1" ht="12.75" spans="7:11">
      <c r="G2939" s="58"/>
      <c r="H2939" s="59"/>
      <c r="I2939" s="58"/>
      <c r="J2939" s="63"/>
      <c r="K2939" s="85"/>
    </row>
    <row r="2940" s="37" customFormat="1" ht="12.75" spans="7:11">
      <c r="G2940" s="58"/>
      <c r="H2940" s="59"/>
      <c r="I2940" s="58"/>
      <c r="J2940" s="63"/>
      <c r="K2940" s="85"/>
    </row>
    <row r="2941" s="37" customFormat="1" ht="12.75" spans="7:11">
      <c r="G2941" s="58"/>
      <c r="H2941" s="59"/>
      <c r="I2941" s="58"/>
      <c r="J2941" s="63"/>
      <c r="K2941" s="85"/>
    </row>
    <row r="2942" s="37" customFormat="1" ht="12.75" spans="7:11">
      <c r="G2942" s="58"/>
      <c r="H2942" s="59"/>
      <c r="I2942" s="58"/>
      <c r="J2942" s="63"/>
      <c r="K2942" s="85"/>
    </row>
    <row r="2943" s="37" customFormat="1" ht="12.75" spans="7:11">
      <c r="G2943" s="58"/>
      <c r="H2943" s="59"/>
      <c r="I2943" s="58"/>
      <c r="J2943" s="63"/>
      <c r="K2943" s="85"/>
    </row>
    <row r="2944" s="37" customFormat="1" ht="12.75" spans="7:11">
      <c r="G2944" s="58"/>
      <c r="H2944" s="59"/>
      <c r="I2944" s="58"/>
      <c r="J2944" s="63"/>
      <c r="K2944" s="85"/>
    </row>
    <row r="2945" s="37" customFormat="1" ht="12.75" spans="1:11">
      <c r="G2945" s="58"/>
      <c r="H2945" s="59"/>
      <c r="I2945" s="58"/>
      <c r="J2945" s="63"/>
      <c r="K2945" s="85"/>
    </row>
    <row r="2946" s="37" customFormat="1" ht="12.75" spans="1:11">
      <c r="G2946" s="58"/>
      <c r="H2946" s="59"/>
      <c r="I2946" s="58"/>
      <c r="J2946" s="63"/>
      <c r="K2946" s="85"/>
    </row>
    <row r="2947" s="37" customFormat="1" ht="12.75" spans="1:11">
      <c r="G2947" s="58"/>
      <c r="H2947" s="59"/>
      <c r="I2947" s="58"/>
      <c r="J2947" s="63"/>
      <c r="K2947" s="85"/>
    </row>
    <row r="2948" s="37" customFormat="1" ht="12.75" spans="1:11">
      <c r="G2948" s="58"/>
      <c r="H2948" s="59"/>
      <c r="I2948" s="58"/>
      <c r="J2948" s="63"/>
      <c r="K2948" s="85"/>
    </row>
    <row r="2949" s="37" customFormat="1" ht="12.75" spans="1:11">
      <c r="G2949" s="58"/>
      <c r="H2949" s="59"/>
      <c r="I2949" s="58"/>
      <c r="J2949" s="63"/>
      <c r="K2949" s="85"/>
    </row>
    <row r="2950" s="37" customFormat="1" ht="12.75" spans="1:11">
      <c r="G2950" s="58"/>
      <c r="H2950" s="59"/>
      <c r="I2950" s="58"/>
      <c r="J2950" s="63"/>
      <c r="K2950" s="85"/>
    </row>
    <row r="2951" s="37" customFormat="1" ht="12.75" spans="1:11">
      <c r="G2951" s="58"/>
      <c r="H2951" s="59"/>
      <c r="I2951" s="58"/>
      <c r="J2951" s="63"/>
      <c r="K2951" s="85"/>
    </row>
    <row r="2952" s="37" customFormat="1" ht="12.75" spans="1:11">
      <c r="A2952" s="54"/>
      <c r="B2952" s="54"/>
      <c r="C2952" s="54"/>
      <c r="D2952" s="54"/>
      <c r="E2952" s="54"/>
      <c r="G2952" s="58"/>
      <c r="H2952" s="66"/>
      <c r="I2952" s="58"/>
      <c r="J2952" s="63"/>
      <c r="K2952" s="85"/>
    </row>
    <row r="2953" s="37" customFormat="1" ht="12.75" spans="1:11">
      <c r="G2953" s="58"/>
      <c r="H2953" s="59"/>
      <c r="I2953" s="58"/>
      <c r="J2953" s="63"/>
      <c r="K2953" s="85"/>
    </row>
    <row r="2954" s="37" customFormat="1" ht="12.75" spans="1:11">
      <c r="A2954" s="54"/>
      <c r="B2954" s="54"/>
      <c r="C2954" s="54"/>
      <c r="D2954" s="54"/>
      <c r="E2954" s="54"/>
      <c r="G2954" s="58"/>
      <c r="H2954" s="66"/>
      <c r="I2954" s="58"/>
      <c r="J2954" s="63"/>
      <c r="K2954" s="85"/>
    </row>
    <row r="2955" s="37" customFormat="1" ht="12.75" spans="1:11">
      <c r="A2955" s="54"/>
      <c r="B2955" s="54"/>
      <c r="C2955" s="54"/>
      <c r="D2955" s="54"/>
      <c r="E2955" s="54"/>
      <c r="G2955" s="58"/>
      <c r="H2955" s="66"/>
      <c r="I2955" s="58"/>
      <c r="J2955" s="63"/>
      <c r="K2955" s="85"/>
    </row>
    <row r="2956" s="37" customFormat="1" ht="12.75" spans="1:11">
      <c r="G2956" s="58"/>
      <c r="H2956" s="59"/>
      <c r="I2956" s="58"/>
      <c r="J2956" s="63"/>
      <c r="K2956" s="85"/>
    </row>
    <row r="2957" s="37" customFormat="1" ht="12.75" spans="1:11">
      <c r="G2957" s="58"/>
      <c r="H2957" s="59"/>
      <c r="I2957" s="58"/>
      <c r="J2957" s="63"/>
      <c r="K2957" s="85"/>
    </row>
    <row r="2958" s="37" customFormat="1" ht="12.75" spans="1:11">
      <c r="G2958" s="58"/>
      <c r="H2958" s="59"/>
      <c r="I2958" s="58"/>
      <c r="J2958" s="63"/>
      <c r="K2958" s="85"/>
    </row>
    <row r="2959" s="37" customFormat="1" ht="12.75" spans="1:11">
      <c r="G2959" s="58"/>
      <c r="H2959" s="59"/>
      <c r="I2959" s="58"/>
      <c r="J2959" s="63"/>
      <c r="K2959" s="85"/>
    </row>
    <row r="2960" s="37" customFormat="1" ht="12.75" spans="1:11">
      <c r="G2960" s="58"/>
      <c r="H2960" s="59"/>
      <c r="I2960" s="58"/>
      <c r="J2960" s="63"/>
      <c r="K2960" s="85"/>
    </row>
    <row r="2961" s="37" customFormat="1" ht="12.75" spans="7:11">
      <c r="G2961" s="58"/>
      <c r="H2961" s="59"/>
      <c r="I2961" s="58"/>
      <c r="J2961" s="63"/>
      <c r="K2961" s="85"/>
    </row>
    <row r="2962" s="37" customFormat="1" ht="12.75" spans="7:11">
      <c r="G2962" s="58"/>
      <c r="H2962" s="59"/>
      <c r="I2962" s="58"/>
      <c r="J2962" s="63"/>
      <c r="K2962" s="85"/>
    </row>
    <row r="2963" s="37" customFormat="1" ht="12.75" spans="7:11">
      <c r="G2963" s="58"/>
      <c r="H2963" s="59"/>
      <c r="I2963" s="58"/>
      <c r="J2963" s="63"/>
      <c r="K2963" s="85"/>
    </row>
    <row r="2964" s="37" customFormat="1" ht="12.75" spans="7:11">
      <c r="G2964" s="58"/>
      <c r="H2964" s="59"/>
      <c r="I2964" s="58"/>
      <c r="J2964" s="63"/>
      <c r="K2964" s="85"/>
    </row>
    <row r="2965" s="37" customFormat="1" ht="12.75" spans="7:11">
      <c r="G2965" s="58"/>
      <c r="H2965" s="59"/>
      <c r="I2965" s="58"/>
      <c r="J2965" s="63"/>
      <c r="K2965" s="85"/>
    </row>
    <row r="2966" s="37" customFormat="1" ht="12.75" spans="7:11">
      <c r="G2966" s="58"/>
      <c r="H2966" s="59"/>
      <c r="I2966" s="58"/>
      <c r="J2966" s="63"/>
      <c r="K2966" s="85"/>
    </row>
    <row r="2967" s="37" customFormat="1" ht="12.75" spans="7:11">
      <c r="G2967" s="58"/>
      <c r="H2967" s="59"/>
      <c r="I2967" s="58"/>
      <c r="J2967" s="63"/>
      <c r="K2967" s="85"/>
    </row>
    <row r="2968" s="37" customFormat="1" ht="12.75" spans="7:11">
      <c r="G2968" s="58"/>
      <c r="H2968" s="59"/>
      <c r="I2968" s="58"/>
      <c r="J2968" s="63"/>
      <c r="K2968" s="85"/>
    </row>
    <row r="2969" s="37" customFormat="1" ht="12.75" spans="7:11">
      <c r="G2969" s="58"/>
      <c r="H2969" s="59"/>
      <c r="I2969" s="58"/>
      <c r="J2969" s="63"/>
      <c r="K2969" s="85"/>
    </row>
    <row r="2970" s="37" customFormat="1" ht="12.75" spans="7:11">
      <c r="G2970" s="58"/>
      <c r="H2970" s="59"/>
      <c r="I2970" s="58"/>
      <c r="J2970" s="63"/>
      <c r="K2970" s="85"/>
    </row>
    <row r="2971" s="37" customFormat="1" ht="12.75" spans="7:11">
      <c r="G2971" s="58"/>
      <c r="H2971" s="59"/>
      <c r="I2971" s="58"/>
      <c r="J2971" s="63"/>
      <c r="K2971" s="85"/>
    </row>
    <row r="2972" s="37" customFormat="1" ht="12.75" spans="7:11">
      <c r="G2972" s="58"/>
      <c r="H2972" s="59"/>
      <c r="I2972" s="58"/>
      <c r="J2972" s="63"/>
      <c r="K2972" s="85"/>
    </row>
    <row r="2973" s="37" customFormat="1" ht="12.75" spans="7:11">
      <c r="G2973" s="58"/>
      <c r="H2973" s="59"/>
      <c r="I2973" s="58"/>
      <c r="J2973" s="63"/>
      <c r="K2973" s="85"/>
    </row>
    <row r="2974" s="37" customFormat="1" ht="12.75" spans="7:11">
      <c r="G2974" s="58"/>
      <c r="H2974" s="59"/>
      <c r="I2974" s="58"/>
      <c r="J2974" s="63"/>
      <c r="K2974" s="85"/>
    </row>
    <row r="2975" s="37" customFormat="1" ht="12.75" spans="7:11">
      <c r="G2975" s="58"/>
      <c r="H2975" s="59"/>
      <c r="I2975" s="58"/>
      <c r="J2975" s="63"/>
      <c r="K2975" s="85"/>
    </row>
    <row r="2976" s="37" customFormat="1" ht="12.75" spans="7:11">
      <c r="G2976" s="58"/>
      <c r="H2976" s="59"/>
      <c r="I2976" s="58"/>
      <c r="J2976" s="63"/>
      <c r="K2976" s="85"/>
    </row>
    <row r="2977" s="37" customFormat="1" ht="12.75" spans="7:11">
      <c r="G2977" s="58"/>
      <c r="H2977" s="59"/>
      <c r="I2977" s="58"/>
      <c r="J2977" s="63"/>
      <c r="K2977" s="85"/>
    </row>
    <row r="2978" s="37" customFormat="1" ht="12.75" spans="7:11">
      <c r="G2978" s="58"/>
      <c r="H2978" s="59"/>
      <c r="I2978" s="58"/>
      <c r="J2978" s="63"/>
      <c r="K2978" s="85"/>
    </row>
    <row r="2979" s="37" customFormat="1" ht="12.75" spans="7:11">
      <c r="G2979" s="58"/>
      <c r="H2979" s="59"/>
      <c r="I2979" s="58"/>
      <c r="J2979" s="63"/>
      <c r="K2979" s="85"/>
    </row>
    <row r="2980" s="37" customFormat="1" ht="12.75" spans="7:11">
      <c r="G2980" s="58"/>
      <c r="H2980" s="59"/>
      <c r="I2980" s="58"/>
      <c r="J2980" s="63"/>
      <c r="K2980" s="85"/>
    </row>
    <row r="2981" s="37" customFormat="1" ht="12.75" spans="7:11">
      <c r="G2981" s="58"/>
      <c r="H2981" s="59"/>
      <c r="I2981" s="58"/>
      <c r="J2981" s="63"/>
      <c r="K2981" s="85"/>
    </row>
    <row r="2982" s="37" customFormat="1" ht="12.75" spans="7:11">
      <c r="G2982" s="58"/>
      <c r="H2982" s="59"/>
      <c r="I2982" s="58"/>
      <c r="J2982" s="63"/>
      <c r="K2982" s="85"/>
    </row>
    <row r="2983" s="37" customFormat="1" ht="12.75" spans="7:11">
      <c r="G2983" s="58"/>
      <c r="H2983" s="59"/>
      <c r="I2983" s="58"/>
      <c r="J2983" s="63"/>
      <c r="K2983" s="85"/>
    </row>
    <row r="2984" s="37" customFormat="1" ht="12.75" spans="7:11">
      <c r="G2984" s="58"/>
      <c r="H2984" s="59"/>
      <c r="I2984" s="58"/>
      <c r="J2984" s="63"/>
      <c r="K2984" s="85"/>
    </row>
    <row r="2985" s="37" customFormat="1" ht="12.75" spans="7:11">
      <c r="G2985" s="58"/>
      <c r="H2985" s="59"/>
      <c r="I2985" s="58"/>
      <c r="J2985" s="63"/>
      <c r="K2985" s="85"/>
    </row>
    <row r="2986" s="37" customFormat="1" ht="12.75" spans="7:11">
      <c r="G2986" s="58"/>
      <c r="H2986" s="59"/>
      <c r="I2986" s="58"/>
      <c r="J2986" s="63"/>
      <c r="K2986" s="85"/>
    </row>
    <row r="2987" s="37" customFormat="1" ht="12.75" spans="7:11">
      <c r="G2987" s="58"/>
      <c r="H2987" s="59"/>
      <c r="I2987" s="58"/>
      <c r="J2987" s="63"/>
      <c r="K2987" s="85"/>
    </row>
    <row r="2988" s="37" customFormat="1" ht="12.75" spans="7:11">
      <c r="G2988" s="58"/>
      <c r="H2988" s="59"/>
      <c r="I2988" s="58"/>
      <c r="J2988" s="63"/>
      <c r="K2988" s="85"/>
    </row>
    <row r="2989" s="37" customFormat="1" ht="12.75" spans="7:11">
      <c r="G2989" s="58"/>
      <c r="H2989" s="59"/>
      <c r="I2989" s="58"/>
      <c r="J2989" s="63"/>
      <c r="K2989" s="85"/>
    </row>
    <row r="2990" s="37" customFormat="1" ht="12.75" spans="7:11">
      <c r="G2990" s="58"/>
      <c r="H2990" s="59"/>
      <c r="I2990" s="58"/>
      <c r="J2990" s="63"/>
      <c r="K2990" s="85"/>
    </row>
    <row r="2991" s="37" customFormat="1" ht="12.75" spans="7:11">
      <c r="G2991" s="58"/>
      <c r="H2991" s="59"/>
      <c r="I2991" s="58"/>
      <c r="J2991" s="63"/>
      <c r="K2991" s="85"/>
    </row>
    <row r="2992" s="37" customFormat="1" ht="12.75" spans="7:11">
      <c r="G2992" s="58"/>
      <c r="H2992" s="59"/>
      <c r="I2992" s="58"/>
      <c r="J2992" s="63"/>
      <c r="K2992" s="85"/>
    </row>
    <row r="2993" s="37" customFormat="1" ht="12.75" spans="1:11">
      <c r="G2993" s="58"/>
      <c r="H2993" s="59"/>
      <c r="I2993" s="58"/>
      <c r="J2993" s="63"/>
      <c r="K2993" s="85"/>
    </row>
    <row r="2994" s="37" customFormat="1" ht="12.75" spans="1:11">
      <c r="G2994" s="58"/>
      <c r="H2994" s="59"/>
      <c r="I2994" s="58"/>
      <c r="J2994" s="63"/>
      <c r="K2994" s="85"/>
    </row>
    <row r="2995" s="37" customFormat="1" ht="12.75" spans="1:11">
      <c r="G2995" s="58"/>
      <c r="H2995" s="59"/>
      <c r="I2995" s="58"/>
      <c r="J2995" s="63"/>
      <c r="K2995" s="85"/>
    </row>
    <row r="2996" s="37" customFormat="1" ht="12.75" spans="1:11">
      <c r="G2996" s="58"/>
      <c r="H2996" s="59"/>
      <c r="I2996" s="58"/>
      <c r="J2996" s="63"/>
      <c r="K2996" s="85"/>
    </row>
    <row r="2997" s="37" customFormat="1" ht="12.75" spans="1:11">
      <c r="A2997" s="54"/>
      <c r="B2997" s="54"/>
      <c r="C2997" s="54"/>
      <c r="D2997" s="54"/>
      <c r="E2997" s="54"/>
      <c r="G2997" s="58"/>
      <c r="H2997" s="66"/>
      <c r="I2997" s="58"/>
      <c r="J2997" s="63"/>
      <c r="K2997" s="85"/>
    </row>
    <row r="2998" s="37" customFormat="1" ht="12.75" spans="1:11">
      <c r="A2998" s="54"/>
      <c r="B2998" s="54"/>
      <c r="C2998" s="54"/>
      <c r="D2998" s="54"/>
      <c r="E2998" s="54"/>
      <c r="G2998" s="58"/>
      <c r="H2998" s="66"/>
      <c r="I2998" s="58"/>
      <c r="J2998" s="63"/>
      <c r="K2998" s="85"/>
    </row>
    <row r="2999" s="37" customFormat="1" ht="12.75" spans="1:11">
      <c r="A2999" s="54"/>
      <c r="B2999" s="54"/>
      <c r="C2999" s="54"/>
      <c r="D2999" s="54"/>
      <c r="E2999" s="54"/>
      <c r="G2999" s="58"/>
      <c r="H2999" s="66"/>
      <c r="I2999" s="58"/>
      <c r="J2999" s="63"/>
      <c r="K2999" s="85"/>
    </row>
    <row r="3000" s="54" customFormat="1" ht="12.75" spans="1:11">
      <c r="F3000" s="37"/>
      <c r="G3000" s="58"/>
      <c r="H3000" s="66"/>
      <c r="I3000" s="58"/>
      <c r="J3000" s="83"/>
      <c r="K3000" s="86"/>
    </row>
    <row r="3001" s="54" customFormat="1" ht="12.75" spans="1:11">
      <c r="F3001" s="37"/>
      <c r="G3001" s="58"/>
      <c r="H3001" s="66"/>
      <c r="I3001" s="58"/>
      <c r="J3001" s="83"/>
      <c r="K3001" s="86"/>
    </row>
    <row r="3002" s="54" customFormat="1" ht="12.75" spans="1:11">
      <c r="F3002" s="37"/>
      <c r="G3002" s="58"/>
      <c r="H3002" s="66"/>
      <c r="I3002" s="58"/>
      <c r="J3002" s="83"/>
      <c r="K3002" s="86"/>
    </row>
    <row r="3003" s="54" customFormat="1" ht="12.75" spans="1:11">
      <c r="A3003" s="37"/>
      <c r="B3003" s="37"/>
      <c r="C3003" s="37"/>
      <c r="D3003" s="37"/>
      <c r="E3003" s="37"/>
      <c r="F3003" s="37"/>
      <c r="G3003" s="58"/>
      <c r="H3003" s="59"/>
      <c r="I3003" s="58"/>
      <c r="J3003" s="83"/>
      <c r="K3003" s="86"/>
    </row>
    <row r="3004" s="54" customFormat="1" ht="12.75" spans="1:11">
      <c r="A3004" s="37"/>
      <c r="B3004" s="37"/>
      <c r="C3004" s="37"/>
      <c r="D3004" s="37"/>
      <c r="E3004" s="37"/>
      <c r="F3004" s="37"/>
      <c r="G3004" s="58"/>
      <c r="H3004" s="59"/>
      <c r="I3004" s="58"/>
      <c r="J3004" s="83"/>
      <c r="K3004" s="86"/>
    </row>
    <row r="3005" s="54" customFormat="1" ht="12.75" spans="1:11">
      <c r="A3005" s="37"/>
      <c r="B3005" s="37"/>
      <c r="C3005" s="37"/>
      <c r="D3005" s="37"/>
      <c r="E3005" s="37"/>
      <c r="F3005" s="37"/>
      <c r="G3005" s="58"/>
      <c r="H3005" s="59"/>
      <c r="I3005" s="58"/>
      <c r="J3005" s="83"/>
      <c r="K3005" s="86"/>
    </row>
    <row r="3006" s="37" customFormat="1" ht="12.75" spans="1:11">
      <c r="G3006" s="58"/>
      <c r="H3006" s="59"/>
      <c r="I3006" s="58"/>
      <c r="J3006" s="63"/>
      <c r="K3006" s="85"/>
    </row>
    <row r="3007" s="37" customFormat="1" ht="12.75" spans="1:11">
      <c r="G3007" s="58"/>
      <c r="H3007" s="59"/>
      <c r="I3007" s="58"/>
      <c r="J3007" s="63"/>
      <c r="K3007" s="85"/>
    </row>
    <row r="3008" s="37" customFormat="1" ht="12.75" spans="1:11">
      <c r="G3008" s="58"/>
      <c r="H3008" s="59"/>
      <c r="I3008" s="58"/>
      <c r="J3008" s="63"/>
      <c r="K3008" s="85"/>
    </row>
    <row r="3009" s="37" customFormat="1" ht="12.75" spans="1:11">
      <c r="G3009" s="58"/>
      <c r="H3009" s="59"/>
      <c r="I3009" s="58"/>
      <c r="J3009" s="63"/>
      <c r="K3009" s="85"/>
    </row>
    <row r="3010" s="37" customFormat="1" ht="12.75" spans="1:11">
      <c r="G3010" s="58"/>
      <c r="H3010" s="59"/>
      <c r="I3010" s="58"/>
      <c r="J3010" s="63"/>
      <c r="K3010" s="85"/>
    </row>
    <row r="3011" s="54" customFormat="1" ht="12.75" spans="1:11">
      <c r="A3011" s="37"/>
      <c r="B3011" s="37"/>
      <c r="C3011" s="37"/>
      <c r="D3011" s="37"/>
      <c r="E3011" s="37"/>
      <c r="F3011" s="37"/>
      <c r="G3011" s="58"/>
      <c r="H3011" s="59"/>
      <c r="I3011" s="58"/>
      <c r="J3011" s="83"/>
      <c r="K3011" s="86"/>
    </row>
    <row r="3012" s="54" customFormat="1" ht="12.75" spans="1:11">
      <c r="A3012" s="37"/>
      <c r="B3012" s="37"/>
      <c r="C3012" s="37"/>
      <c r="D3012" s="37"/>
      <c r="E3012" s="37"/>
      <c r="F3012" s="37"/>
      <c r="G3012" s="58"/>
      <c r="H3012" s="59"/>
      <c r="I3012" s="58"/>
      <c r="J3012" s="83"/>
      <c r="K3012" s="86"/>
    </row>
    <row r="3013" s="54" customFormat="1" ht="12.75" spans="1:11">
      <c r="A3013" s="37"/>
      <c r="B3013" s="37"/>
      <c r="C3013" s="37"/>
      <c r="D3013" s="37"/>
      <c r="E3013" s="37"/>
      <c r="F3013" s="37"/>
      <c r="G3013" s="58"/>
      <c r="H3013" s="59"/>
      <c r="I3013" s="58"/>
      <c r="J3013" s="83"/>
      <c r="K3013" s="86"/>
    </row>
    <row r="3014" s="54" customFormat="1" ht="12.75" spans="1:11">
      <c r="A3014" s="37"/>
      <c r="B3014" s="37"/>
      <c r="C3014" s="37"/>
      <c r="D3014" s="37"/>
      <c r="E3014" s="37"/>
      <c r="F3014" s="37"/>
      <c r="G3014" s="58"/>
      <c r="H3014" s="59"/>
      <c r="I3014" s="58"/>
      <c r="J3014" s="83"/>
      <c r="K3014" s="86"/>
    </row>
    <row r="3015" s="54" customFormat="1" ht="12.75" spans="1:11">
      <c r="A3015" s="37"/>
      <c r="B3015" s="37"/>
      <c r="C3015" s="37"/>
      <c r="D3015" s="37"/>
      <c r="E3015" s="37"/>
      <c r="F3015" s="37"/>
      <c r="G3015" s="58"/>
      <c r="H3015" s="59"/>
      <c r="I3015" s="58"/>
      <c r="J3015" s="83"/>
      <c r="K3015" s="86"/>
    </row>
    <row r="3016" s="54" customFormat="1" ht="12.75" spans="1:11">
      <c r="A3016" s="37"/>
      <c r="B3016" s="37"/>
      <c r="C3016" s="37"/>
      <c r="D3016" s="37"/>
      <c r="E3016" s="37"/>
      <c r="F3016" s="37"/>
      <c r="G3016" s="58"/>
      <c r="H3016" s="59"/>
      <c r="I3016" s="58"/>
      <c r="J3016" s="83"/>
      <c r="K3016" s="86"/>
    </row>
    <row r="3017" s="37" customFormat="1" ht="12.75" spans="1:11">
      <c r="G3017" s="58"/>
      <c r="H3017" s="59"/>
      <c r="I3017" s="58"/>
      <c r="J3017" s="63"/>
      <c r="K3017" s="85"/>
    </row>
    <row r="3018" s="37" customFormat="1" ht="12.75" spans="1:11">
      <c r="G3018" s="58"/>
      <c r="H3018" s="59"/>
      <c r="I3018" s="58"/>
      <c r="J3018" s="63"/>
      <c r="K3018" s="85"/>
    </row>
    <row r="3019" s="37" customFormat="1" ht="12.75" spans="1:11">
      <c r="G3019" s="58"/>
      <c r="H3019" s="59"/>
      <c r="I3019" s="58"/>
      <c r="J3019" s="63"/>
      <c r="K3019" s="85"/>
    </row>
    <row r="3020" s="37" customFormat="1" ht="12.75" spans="1:11">
      <c r="G3020" s="58"/>
      <c r="H3020" s="59"/>
      <c r="I3020" s="58"/>
      <c r="J3020" s="63"/>
      <c r="K3020" s="85"/>
    </row>
    <row r="3021" s="37" customFormat="1" ht="12.75" spans="1:11">
      <c r="G3021" s="58"/>
      <c r="H3021" s="59"/>
      <c r="I3021" s="58"/>
      <c r="J3021" s="63"/>
      <c r="K3021" s="85"/>
    </row>
    <row r="3022" s="37" customFormat="1" ht="12.75" spans="1:11">
      <c r="G3022" s="58"/>
      <c r="H3022" s="59"/>
      <c r="I3022" s="58"/>
      <c r="J3022" s="63"/>
      <c r="K3022" s="85"/>
    </row>
    <row r="3023" s="37" customFormat="1" ht="12.75" spans="1:11">
      <c r="G3023" s="58"/>
      <c r="H3023" s="59"/>
      <c r="I3023" s="58"/>
      <c r="J3023" s="63"/>
      <c r="K3023" s="85"/>
    </row>
    <row r="3024" s="37" customFormat="1" ht="12.75" spans="1:11">
      <c r="G3024" s="58"/>
      <c r="H3024" s="59"/>
      <c r="I3024" s="58"/>
      <c r="J3024" s="63"/>
      <c r="K3024" s="85"/>
    </row>
    <row r="3025" s="37" customFormat="1" ht="12.75" spans="1:11">
      <c r="G3025" s="58"/>
      <c r="H3025" s="59"/>
      <c r="I3025" s="58"/>
      <c r="J3025" s="63"/>
      <c r="K3025" s="85"/>
    </row>
    <row r="3026" s="37" customFormat="1" ht="12.75" spans="1:11">
      <c r="G3026" s="58"/>
      <c r="H3026" s="59"/>
      <c r="I3026" s="58"/>
      <c r="J3026" s="63"/>
      <c r="K3026" s="85"/>
    </row>
    <row r="3027" s="37" customFormat="1" ht="12.75" spans="1:11">
      <c r="G3027" s="58"/>
      <c r="H3027" s="59"/>
      <c r="I3027" s="58"/>
      <c r="J3027" s="63"/>
      <c r="K3027" s="85"/>
    </row>
    <row r="3028" s="37" customFormat="1" ht="12.75" spans="1:11">
      <c r="A3028" s="54"/>
      <c r="B3028" s="54"/>
      <c r="C3028" s="54"/>
      <c r="D3028" s="54"/>
      <c r="E3028" s="54"/>
      <c r="G3028" s="58"/>
      <c r="H3028" s="66"/>
      <c r="I3028" s="58"/>
      <c r="J3028" s="63"/>
      <c r="K3028" s="85"/>
    </row>
    <row r="3029" s="37" customFormat="1" ht="12.75" spans="1:11">
      <c r="A3029" s="54"/>
      <c r="B3029" s="54"/>
      <c r="C3029" s="54"/>
      <c r="D3029" s="54"/>
      <c r="E3029" s="54"/>
      <c r="G3029" s="58"/>
      <c r="H3029" s="66"/>
      <c r="I3029" s="58"/>
      <c r="J3029" s="63"/>
      <c r="K3029" s="85"/>
    </row>
    <row r="3030" s="37" customFormat="1" ht="12.75" spans="1:11">
      <c r="A3030" s="54"/>
      <c r="B3030" s="54"/>
      <c r="C3030" s="54"/>
      <c r="D3030" s="54"/>
      <c r="E3030" s="54"/>
      <c r="G3030" s="58"/>
      <c r="H3030" s="66"/>
      <c r="I3030" s="58"/>
      <c r="J3030" s="63"/>
      <c r="K3030" s="85"/>
    </row>
    <row r="3031" s="37" customFormat="1" ht="12.75" spans="1:11">
      <c r="A3031" s="54"/>
      <c r="B3031" s="54"/>
      <c r="C3031" s="54"/>
      <c r="D3031" s="54"/>
      <c r="E3031" s="54"/>
      <c r="G3031" s="58"/>
      <c r="H3031" s="66"/>
      <c r="I3031" s="58"/>
      <c r="J3031" s="63"/>
      <c r="K3031" s="85"/>
    </row>
    <row r="3032" s="37" customFormat="1" ht="12.75" spans="1:11">
      <c r="A3032" s="54"/>
      <c r="B3032" s="54"/>
      <c r="C3032" s="54"/>
      <c r="D3032" s="54"/>
      <c r="E3032" s="54"/>
      <c r="G3032" s="58"/>
      <c r="H3032" s="66"/>
      <c r="I3032" s="58"/>
      <c r="J3032" s="63"/>
      <c r="K3032" s="85"/>
    </row>
    <row r="3033" s="37" customFormat="1" ht="12.75" spans="1:11">
      <c r="G3033" s="58"/>
      <c r="H3033" s="59"/>
      <c r="I3033" s="58"/>
      <c r="J3033" s="63"/>
      <c r="K3033" s="85"/>
    </row>
    <row r="3034" s="37" customFormat="1" ht="12.75" spans="1:11">
      <c r="G3034" s="58"/>
      <c r="H3034" s="59"/>
      <c r="I3034" s="58"/>
      <c r="J3034" s="63"/>
      <c r="K3034" s="85"/>
    </row>
    <row r="3035" s="37" customFormat="1" ht="12.75" spans="1:11">
      <c r="G3035" s="58"/>
      <c r="H3035" s="59"/>
      <c r="I3035" s="58"/>
      <c r="J3035" s="63"/>
      <c r="K3035" s="85"/>
    </row>
    <row r="3036" s="37" customFormat="1" ht="12.75" spans="1:11">
      <c r="G3036" s="58"/>
      <c r="H3036" s="59"/>
      <c r="I3036" s="58"/>
      <c r="J3036" s="63"/>
      <c r="K3036" s="85"/>
    </row>
    <row r="3037" s="37" customFormat="1" ht="12.75" spans="1:11">
      <c r="G3037" s="58"/>
      <c r="H3037" s="59"/>
      <c r="I3037" s="58"/>
      <c r="J3037" s="63"/>
      <c r="K3037" s="85"/>
    </row>
    <row r="3038" s="37" customFormat="1" ht="12.75" spans="1:11">
      <c r="G3038" s="58"/>
      <c r="H3038" s="59"/>
      <c r="I3038" s="58"/>
      <c r="J3038" s="63"/>
      <c r="K3038" s="85"/>
    </row>
    <row r="3039" s="37" customFormat="1" ht="12.75" spans="1:11">
      <c r="G3039" s="58"/>
      <c r="H3039" s="59"/>
      <c r="I3039" s="58"/>
      <c r="J3039" s="63"/>
      <c r="K3039" s="85"/>
    </row>
    <row r="3040" s="37" customFormat="1" ht="12.75" spans="1:11">
      <c r="G3040" s="58"/>
      <c r="H3040" s="59"/>
      <c r="I3040" s="58"/>
      <c r="J3040" s="63"/>
      <c r="K3040" s="85"/>
    </row>
    <row r="3041" s="37" customFormat="1" ht="12.75" spans="7:11">
      <c r="G3041" s="58"/>
      <c r="H3041" s="59"/>
      <c r="I3041" s="58"/>
      <c r="J3041" s="63"/>
      <c r="K3041" s="85"/>
    </row>
    <row r="3042" s="37" customFormat="1" ht="12.75" spans="7:11">
      <c r="G3042" s="58"/>
      <c r="H3042" s="59"/>
      <c r="I3042" s="58"/>
      <c r="J3042" s="63"/>
      <c r="K3042" s="85"/>
    </row>
    <row r="3043" s="37" customFormat="1" ht="12.75" spans="7:11">
      <c r="G3043" s="58"/>
      <c r="H3043" s="59"/>
      <c r="I3043" s="58"/>
      <c r="J3043" s="63"/>
      <c r="K3043" s="85"/>
    </row>
    <row r="3044" s="37" customFormat="1" ht="12.75" spans="7:11">
      <c r="G3044" s="58"/>
      <c r="H3044" s="59"/>
      <c r="I3044" s="58"/>
      <c r="J3044" s="63"/>
      <c r="K3044" s="85"/>
    </row>
    <row r="3045" s="37" customFormat="1" ht="12.75" spans="7:11">
      <c r="G3045" s="58"/>
      <c r="H3045" s="59"/>
      <c r="I3045" s="58"/>
      <c r="J3045" s="63"/>
      <c r="K3045" s="85"/>
    </row>
    <row r="3046" s="37" customFormat="1" ht="12.75" spans="7:11">
      <c r="G3046" s="58"/>
      <c r="H3046" s="59"/>
      <c r="I3046" s="58"/>
      <c r="J3046" s="63"/>
      <c r="K3046" s="85"/>
    </row>
    <row r="3047" s="37" customFormat="1" ht="12.75" spans="7:11">
      <c r="G3047" s="58"/>
      <c r="H3047" s="59"/>
      <c r="I3047" s="58"/>
      <c r="J3047" s="63"/>
      <c r="K3047" s="85"/>
    </row>
    <row r="3048" s="37" customFormat="1" ht="12.75" spans="7:11">
      <c r="G3048" s="58"/>
      <c r="H3048" s="59"/>
      <c r="I3048" s="58"/>
      <c r="J3048" s="63"/>
      <c r="K3048" s="85"/>
    </row>
    <row r="3049" s="37" customFormat="1" ht="12.75" spans="7:11">
      <c r="G3049" s="58"/>
      <c r="H3049" s="59"/>
      <c r="I3049" s="58"/>
      <c r="J3049" s="63"/>
      <c r="K3049" s="85"/>
    </row>
    <row r="3050" s="37" customFormat="1" ht="12.75" spans="7:11">
      <c r="G3050" s="58"/>
      <c r="H3050" s="59"/>
      <c r="I3050" s="58"/>
      <c r="J3050" s="63"/>
      <c r="K3050" s="85"/>
    </row>
    <row r="3051" s="37" customFormat="1" ht="12.75" spans="7:11">
      <c r="G3051" s="58"/>
      <c r="H3051" s="59"/>
      <c r="I3051" s="58"/>
      <c r="J3051" s="63"/>
      <c r="K3051" s="85"/>
    </row>
    <row r="3052" s="37" customFormat="1" ht="12.75" spans="7:11">
      <c r="G3052" s="58"/>
      <c r="H3052" s="59"/>
      <c r="I3052" s="58"/>
      <c r="J3052" s="63"/>
      <c r="K3052" s="85"/>
    </row>
    <row r="3053" s="37" customFormat="1" ht="12.75" spans="7:11">
      <c r="G3053" s="58"/>
      <c r="H3053" s="59"/>
      <c r="I3053" s="58"/>
      <c r="J3053" s="63"/>
      <c r="K3053" s="85"/>
    </row>
    <row r="3054" s="37" customFormat="1" ht="12.75" spans="7:11">
      <c r="G3054" s="58"/>
      <c r="H3054" s="59"/>
      <c r="I3054" s="58"/>
      <c r="J3054" s="63"/>
      <c r="K3054" s="85"/>
    </row>
    <row r="3055" s="37" customFormat="1" ht="12.75" spans="7:11">
      <c r="G3055" s="58"/>
      <c r="H3055" s="59"/>
      <c r="I3055" s="58"/>
      <c r="J3055" s="63"/>
      <c r="K3055" s="85"/>
    </row>
    <row r="3056" s="37" customFormat="1" ht="12.75" spans="7:11">
      <c r="G3056" s="58"/>
      <c r="H3056" s="59"/>
      <c r="I3056" s="58"/>
      <c r="J3056" s="63"/>
      <c r="K3056" s="85"/>
    </row>
    <row r="3057" s="37" customFormat="1" ht="12.75" spans="1:14">
      <c r="G3057" s="58"/>
      <c r="H3057" s="59"/>
      <c r="I3057" s="58"/>
      <c r="J3057" s="63"/>
      <c r="K3057" s="85"/>
    </row>
    <row r="3058" s="37" customFormat="1" ht="12.75" spans="1:14">
      <c r="G3058" s="58"/>
      <c r="H3058" s="59"/>
      <c r="I3058" s="58"/>
      <c r="J3058" s="63"/>
      <c r="K3058" s="85"/>
      <c r="N3058" s="62"/>
    </row>
    <row r="3059" s="37" customFormat="1" ht="12.75" spans="1:14">
      <c r="G3059" s="58"/>
      <c r="H3059" s="59"/>
      <c r="I3059" s="58"/>
      <c r="J3059" s="63"/>
      <c r="K3059" s="85"/>
      <c r="N3059" s="62"/>
    </row>
    <row r="3060" s="37" customFormat="1" ht="12.75" spans="1:14">
      <c r="G3060" s="58"/>
      <c r="H3060" s="59"/>
      <c r="I3060" s="58"/>
      <c r="J3060" s="63"/>
      <c r="K3060" s="85"/>
      <c r="N3060" s="62"/>
    </row>
    <row r="3061" s="37" customFormat="1" ht="12.75" spans="1:14">
      <c r="G3061" s="58"/>
      <c r="H3061" s="59"/>
      <c r="I3061" s="58"/>
      <c r="J3061" s="63"/>
      <c r="K3061" s="85"/>
      <c r="N3061" s="62"/>
    </row>
    <row r="3062" s="37" customFormat="1" ht="12.75" spans="1:14">
      <c r="G3062" s="58"/>
      <c r="H3062" s="59"/>
      <c r="I3062" s="58"/>
      <c r="J3062" s="63"/>
      <c r="K3062" s="85"/>
      <c r="N3062" s="62"/>
    </row>
    <row r="3063" s="54" customFormat="1" ht="12.75" spans="1:14">
      <c r="A3063" s="37"/>
      <c r="B3063" s="37"/>
      <c r="C3063" s="37"/>
      <c r="D3063" s="37"/>
      <c r="E3063" s="37"/>
      <c r="F3063" s="37"/>
      <c r="G3063" s="58"/>
      <c r="H3063" s="59"/>
      <c r="I3063" s="58"/>
      <c r="J3063" s="83"/>
      <c r="K3063" s="86"/>
      <c r="N3063" s="77"/>
    </row>
    <row r="3064" s="54" customFormat="1" ht="12.75" spans="1:14">
      <c r="A3064" s="37"/>
      <c r="B3064" s="37"/>
      <c r="C3064" s="37"/>
      <c r="D3064" s="37"/>
      <c r="E3064" s="37"/>
      <c r="F3064" s="37"/>
      <c r="G3064" s="58"/>
      <c r="H3064" s="59"/>
      <c r="I3064" s="58"/>
      <c r="J3064" s="83"/>
      <c r="K3064" s="86"/>
      <c r="N3064" s="77"/>
    </row>
    <row r="3065" s="54" customFormat="1" ht="12.75" spans="1:14">
      <c r="A3065" s="37"/>
      <c r="B3065" s="37"/>
      <c r="C3065" s="37"/>
      <c r="D3065" s="37"/>
      <c r="E3065" s="37"/>
      <c r="F3065" s="37"/>
      <c r="G3065" s="58"/>
      <c r="H3065" s="59"/>
      <c r="I3065" s="58"/>
      <c r="J3065" s="83"/>
      <c r="K3065" s="86"/>
      <c r="N3065" s="77"/>
    </row>
    <row r="3066" s="54" customFormat="1" ht="12.75" spans="1:14">
      <c r="A3066" s="37"/>
      <c r="B3066" s="37"/>
      <c r="C3066" s="37"/>
      <c r="D3066" s="37"/>
      <c r="E3066" s="37"/>
      <c r="F3066" s="37"/>
      <c r="G3066" s="58"/>
      <c r="H3066" s="59"/>
      <c r="I3066" s="58"/>
      <c r="J3066" s="83"/>
      <c r="K3066" s="86"/>
      <c r="N3066" s="77"/>
    </row>
    <row r="3067" s="37" customFormat="1" ht="12.75" spans="1:14">
      <c r="G3067" s="58"/>
      <c r="H3067" s="59"/>
      <c r="I3067" s="58"/>
      <c r="J3067" s="63"/>
      <c r="K3067" s="85"/>
      <c r="N3067" s="62"/>
    </row>
    <row r="3068" s="37" customFormat="1" ht="12.75" spans="1:14">
      <c r="G3068" s="58"/>
      <c r="H3068" s="59"/>
      <c r="I3068" s="58"/>
      <c r="J3068" s="63"/>
      <c r="K3068" s="85"/>
      <c r="N3068" s="62"/>
    </row>
    <row r="3069" s="37" customFormat="1" ht="12.75" spans="1:14">
      <c r="G3069" s="58"/>
      <c r="H3069" s="59"/>
      <c r="I3069" s="58"/>
      <c r="J3069" s="63"/>
      <c r="K3069" s="85"/>
      <c r="N3069" s="62"/>
    </row>
    <row r="3070" s="37" customFormat="1" ht="12.75" spans="1:14">
      <c r="G3070" s="58"/>
      <c r="H3070" s="59"/>
      <c r="I3070" s="58"/>
      <c r="J3070" s="63"/>
      <c r="K3070" s="85"/>
      <c r="N3070" s="62"/>
    </row>
    <row r="3071" s="37" customFormat="1" ht="12.75" spans="1:14">
      <c r="G3071" s="58"/>
      <c r="H3071" s="59"/>
      <c r="I3071" s="58"/>
      <c r="J3071" s="63"/>
      <c r="K3071" s="85"/>
      <c r="N3071" s="62"/>
    </row>
    <row r="3072" s="37" customFormat="1" ht="12.75" spans="1:14">
      <c r="G3072" s="58"/>
      <c r="H3072" s="59"/>
      <c r="I3072" s="58"/>
      <c r="J3072" s="63"/>
      <c r="K3072" s="85"/>
      <c r="N3072" s="62"/>
    </row>
    <row r="3073" s="37" customFormat="1" ht="12.75" spans="7:14">
      <c r="G3073" s="58"/>
      <c r="H3073" s="59"/>
      <c r="I3073" s="58"/>
      <c r="J3073" s="63"/>
      <c r="K3073" s="85"/>
      <c r="N3073" s="62"/>
    </row>
    <row r="3074" s="37" customFormat="1" ht="12.75" spans="7:14">
      <c r="G3074" s="58"/>
      <c r="H3074" s="59"/>
      <c r="I3074" s="58"/>
      <c r="J3074" s="63"/>
      <c r="K3074" s="85"/>
      <c r="N3074" s="62"/>
    </row>
    <row r="3075" s="37" customFormat="1" ht="12.75" spans="7:14">
      <c r="G3075" s="58"/>
      <c r="H3075" s="59"/>
      <c r="I3075" s="58"/>
      <c r="J3075" s="63"/>
      <c r="K3075" s="85"/>
      <c r="N3075" s="62"/>
    </row>
    <row r="3076" s="37" customFormat="1" ht="12.75" spans="7:14">
      <c r="G3076" s="58"/>
      <c r="H3076" s="59"/>
      <c r="I3076" s="58"/>
      <c r="J3076" s="63"/>
      <c r="K3076" s="85"/>
      <c r="N3076" s="62"/>
    </row>
    <row r="3077" s="37" customFormat="1" ht="12.75" spans="7:14">
      <c r="G3077" s="58"/>
      <c r="H3077" s="59"/>
      <c r="I3077" s="58"/>
      <c r="J3077" s="63"/>
      <c r="K3077" s="85"/>
    </row>
    <row r="3078" s="37" customFormat="1" ht="12.75" spans="7:14">
      <c r="G3078" s="58"/>
      <c r="H3078" s="59"/>
      <c r="I3078" s="58"/>
      <c r="J3078" s="63"/>
      <c r="K3078" s="85"/>
    </row>
    <row r="3079" s="37" customFormat="1" ht="12.75" spans="7:14">
      <c r="G3079" s="58"/>
      <c r="H3079" s="59"/>
      <c r="I3079" s="58"/>
      <c r="J3079" s="63"/>
      <c r="K3079" s="85"/>
    </row>
    <row r="3080" s="37" customFormat="1" ht="12.75" spans="7:14">
      <c r="G3080" s="58"/>
      <c r="H3080" s="59"/>
      <c r="I3080" s="58"/>
      <c r="J3080" s="63"/>
      <c r="K3080" s="85"/>
    </row>
    <row r="3081" s="37" customFormat="1" ht="12.75" spans="7:14">
      <c r="G3081" s="58"/>
      <c r="H3081" s="59"/>
      <c r="I3081" s="58"/>
      <c r="J3081" s="63"/>
      <c r="K3081" s="85"/>
    </row>
    <row r="3082" s="37" customFormat="1" ht="12.75" spans="7:14">
      <c r="G3082" s="58"/>
      <c r="H3082" s="59"/>
      <c r="I3082" s="58"/>
      <c r="J3082" s="63"/>
      <c r="K3082" s="85"/>
    </row>
    <row r="3083" s="37" customFormat="1" ht="12.75" spans="7:14">
      <c r="G3083" s="58"/>
      <c r="H3083" s="59"/>
      <c r="I3083" s="58"/>
      <c r="J3083" s="63"/>
      <c r="K3083" s="85"/>
    </row>
    <row r="3084" s="37" customFormat="1" ht="12.75" spans="7:14">
      <c r="G3084" s="58"/>
      <c r="H3084" s="59"/>
      <c r="I3084" s="58"/>
      <c r="J3084" s="63"/>
      <c r="K3084" s="85"/>
    </row>
    <row r="3085" s="37" customFormat="1" ht="12.75" spans="7:14">
      <c r="G3085" s="58"/>
      <c r="H3085" s="59"/>
      <c r="I3085" s="58"/>
      <c r="J3085" s="63"/>
      <c r="K3085" s="85"/>
    </row>
    <row r="3086" s="37" customFormat="1" ht="12.75" spans="7:14">
      <c r="G3086" s="58"/>
      <c r="H3086" s="59"/>
      <c r="I3086" s="58"/>
      <c r="J3086" s="63"/>
      <c r="K3086" s="85"/>
    </row>
    <row r="3087" s="37" customFormat="1" ht="12.75" spans="7:14">
      <c r="G3087" s="58"/>
      <c r="H3087" s="59"/>
      <c r="I3087" s="58"/>
      <c r="J3087" s="63"/>
      <c r="K3087" s="85"/>
    </row>
    <row r="3088" s="37" customFormat="1" ht="12.75" spans="7:14">
      <c r="G3088" s="58"/>
      <c r="H3088" s="59"/>
      <c r="I3088" s="58"/>
      <c r="J3088" s="63"/>
      <c r="K3088" s="85"/>
    </row>
    <row r="3089" s="37" customFormat="1" ht="12.75" spans="7:14">
      <c r="G3089" s="58"/>
      <c r="H3089" s="59"/>
      <c r="I3089" s="58"/>
      <c r="J3089" s="63"/>
      <c r="K3089" s="85"/>
    </row>
    <row r="3090" s="37" customFormat="1" ht="12.75" spans="7:14">
      <c r="G3090" s="58"/>
      <c r="H3090" s="59"/>
      <c r="I3090" s="58"/>
      <c r="J3090" s="63"/>
      <c r="K3090" s="85"/>
    </row>
    <row r="3091" s="37" customFormat="1" ht="12.75" spans="7:14">
      <c r="G3091" s="58"/>
      <c r="H3091" s="59"/>
      <c r="I3091" s="58"/>
      <c r="J3091" s="63"/>
      <c r="K3091" s="85"/>
    </row>
    <row r="3092" s="37" customFormat="1" ht="12.75" spans="7:14">
      <c r="G3092" s="58"/>
      <c r="H3092" s="59"/>
      <c r="I3092" s="58"/>
      <c r="J3092" s="63"/>
      <c r="K3092" s="85"/>
    </row>
    <row r="3093" s="37" customFormat="1" ht="12.75" spans="7:14">
      <c r="G3093" s="58"/>
      <c r="H3093" s="59"/>
      <c r="I3093" s="58"/>
      <c r="J3093" s="63"/>
      <c r="K3093" s="85"/>
    </row>
    <row r="3094" s="37" customFormat="1" ht="12.75" spans="7:14">
      <c r="G3094" s="58"/>
      <c r="H3094" s="59"/>
      <c r="I3094" s="58"/>
      <c r="J3094" s="63"/>
      <c r="K3094" s="85"/>
    </row>
    <row r="3095" s="37" customFormat="1" ht="12.75" spans="7:14">
      <c r="G3095" s="58"/>
      <c r="H3095" s="59"/>
      <c r="I3095" s="58"/>
      <c r="K3095" s="60"/>
    </row>
    <row r="3096" s="37" customFormat="1" ht="12.75" spans="7:14">
      <c r="G3096" s="58"/>
      <c r="H3096" s="59"/>
      <c r="I3096" s="58"/>
      <c r="J3096" s="67"/>
      <c r="K3096" s="68"/>
      <c r="L3096" s="67"/>
    </row>
    <row r="3097" s="37" customFormat="1" ht="12.75" spans="7:14">
      <c r="G3097" s="58"/>
      <c r="H3097" s="59"/>
      <c r="I3097" s="58"/>
      <c r="J3097" s="67"/>
      <c r="K3097" s="68"/>
      <c r="L3097" s="67"/>
    </row>
    <row r="3098" s="37" customFormat="1" ht="12.75" spans="7:14">
      <c r="G3098" s="58"/>
      <c r="H3098" s="59"/>
      <c r="I3098" s="58"/>
      <c r="K3098" s="60"/>
    </row>
    <row r="3099" s="37" customFormat="1" ht="12.75" spans="7:14">
      <c r="G3099" s="58"/>
      <c r="H3099" s="59"/>
      <c r="I3099" s="58"/>
      <c r="K3099" s="60"/>
      <c r="N3099" s="62"/>
    </row>
    <row r="3100" s="37" customFormat="1" ht="12.75" spans="7:14">
      <c r="G3100" s="58"/>
      <c r="H3100" s="59"/>
      <c r="I3100" s="58"/>
      <c r="K3100" s="60"/>
      <c r="N3100" s="62"/>
    </row>
    <row r="3101" s="37" customFormat="1" ht="12.75" spans="7:14">
      <c r="G3101" s="58"/>
      <c r="H3101" s="59"/>
      <c r="I3101" s="58"/>
      <c r="K3101" s="60"/>
      <c r="N3101" s="62"/>
    </row>
    <row r="3102" s="37" customFormat="1" ht="12.75" spans="7:14">
      <c r="G3102" s="58"/>
      <c r="H3102" s="59"/>
      <c r="I3102" s="58"/>
      <c r="K3102" s="60"/>
      <c r="N3102" s="62"/>
    </row>
    <row r="3103" s="37" customFormat="1" ht="12.75" spans="7:14">
      <c r="G3103" s="58"/>
      <c r="H3103" s="59"/>
      <c r="I3103" s="58"/>
      <c r="K3103" s="60"/>
      <c r="N3103" s="62"/>
    </row>
    <row r="3104" s="37" customFormat="1" ht="12.75" spans="7:14">
      <c r="G3104" s="58"/>
      <c r="H3104" s="59"/>
      <c r="I3104" s="58"/>
      <c r="K3104" s="60"/>
      <c r="N3104" s="62"/>
    </row>
    <row r="3105" s="37" customFormat="1" ht="12.75" spans="7:14">
      <c r="G3105" s="58"/>
      <c r="H3105" s="59"/>
      <c r="I3105" s="58"/>
      <c r="K3105" s="60"/>
      <c r="N3105" s="62"/>
    </row>
    <row r="3106" s="37" customFormat="1" ht="12.75" spans="7:14">
      <c r="G3106" s="58"/>
      <c r="H3106" s="59"/>
      <c r="I3106" s="58"/>
      <c r="K3106" s="60"/>
      <c r="N3106" s="62"/>
    </row>
    <row r="3107" s="37" customFormat="1" ht="12.75" spans="7:14">
      <c r="G3107" s="58"/>
      <c r="H3107" s="59"/>
      <c r="I3107" s="58"/>
      <c r="K3107" s="60"/>
      <c r="N3107" s="62"/>
    </row>
    <row r="3108" s="37" customFormat="1" ht="12.75" spans="7:14">
      <c r="G3108" s="58"/>
      <c r="H3108" s="59"/>
      <c r="I3108" s="58"/>
      <c r="K3108" s="60"/>
      <c r="N3108" s="62"/>
    </row>
    <row r="3109" s="37" customFormat="1" ht="12.75" spans="7:14">
      <c r="G3109" s="58"/>
      <c r="H3109" s="59"/>
      <c r="I3109" s="58"/>
      <c r="K3109" s="60"/>
      <c r="N3109" s="62"/>
    </row>
    <row r="3110" s="37" customFormat="1" ht="12.75" spans="7:14">
      <c r="G3110" s="58"/>
      <c r="H3110" s="59"/>
      <c r="I3110" s="58"/>
      <c r="J3110" s="67"/>
      <c r="K3110" s="68"/>
      <c r="L3110" s="67"/>
    </row>
    <row r="3111" s="37" customFormat="1" ht="12.75" spans="7:14">
      <c r="G3111" s="58"/>
      <c r="H3111" s="59"/>
      <c r="I3111" s="58"/>
      <c r="K3111" s="60"/>
    </row>
    <row r="3112" s="37" customFormat="1" ht="12.75" spans="7:14">
      <c r="G3112" s="58"/>
      <c r="H3112" s="59"/>
      <c r="I3112" s="58"/>
      <c r="K3112" s="60"/>
    </row>
    <row r="3113" s="37" customFormat="1" ht="12.75" spans="7:14">
      <c r="G3113" s="58"/>
      <c r="H3113" s="59"/>
      <c r="I3113" s="58"/>
      <c r="K3113" s="60"/>
    </row>
    <row r="3114" s="37" customFormat="1" ht="12.75" spans="7:14">
      <c r="G3114" s="58"/>
      <c r="H3114" s="59"/>
      <c r="I3114" s="58"/>
      <c r="K3114" s="60"/>
    </row>
    <row r="3115" s="37" customFormat="1" ht="12.75" spans="7:14">
      <c r="G3115" s="58"/>
      <c r="H3115" s="59"/>
      <c r="I3115" s="58"/>
      <c r="K3115" s="60"/>
      <c r="N3115" s="62"/>
    </row>
    <row r="3116" s="37" customFormat="1" ht="12.75" spans="7:14">
      <c r="G3116" s="58"/>
      <c r="H3116" s="59"/>
      <c r="I3116" s="58"/>
      <c r="K3116" s="60"/>
      <c r="N3116" s="62"/>
    </row>
    <row r="3117" s="37" customFormat="1" ht="12.75" spans="7:14">
      <c r="G3117" s="58"/>
      <c r="H3117" s="59"/>
      <c r="I3117" s="58"/>
      <c r="K3117" s="60"/>
      <c r="N3117" s="62"/>
    </row>
    <row r="3118" s="37" customFormat="1" ht="12.75" spans="7:14">
      <c r="G3118" s="58"/>
      <c r="H3118" s="59"/>
      <c r="I3118" s="58"/>
      <c r="K3118" s="60"/>
      <c r="N3118" s="62"/>
    </row>
    <row r="3119" s="37" customFormat="1" ht="12.75" spans="7:14">
      <c r="G3119" s="58"/>
      <c r="H3119" s="59"/>
      <c r="I3119" s="58"/>
      <c r="K3119" s="60"/>
      <c r="N3119" s="62"/>
    </row>
    <row r="3120" s="37" customFormat="1" ht="12.75" spans="7:14">
      <c r="G3120" s="58"/>
      <c r="H3120" s="59"/>
      <c r="I3120" s="58"/>
      <c r="K3120" s="60"/>
      <c r="N3120" s="62"/>
    </row>
    <row r="3121" s="37" customFormat="1" ht="12.75" spans="7:14">
      <c r="G3121" s="58"/>
      <c r="H3121" s="59"/>
      <c r="I3121" s="58"/>
      <c r="K3121" s="60"/>
      <c r="N3121" s="62"/>
    </row>
    <row r="3122" s="37" customFormat="1" ht="12.75" spans="7:14">
      <c r="G3122" s="58"/>
      <c r="H3122" s="59"/>
      <c r="I3122" s="58"/>
      <c r="K3122" s="60"/>
      <c r="N3122" s="62"/>
    </row>
    <row r="3123" s="37" customFormat="1" ht="12.75" spans="7:14">
      <c r="G3123" s="58"/>
      <c r="H3123" s="59"/>
      <c r="I3123" s="58"/>
      <c r="K3123" s="60"/>
      <c r="N3123" s="62"/>
    </row>
    <row r="3124" s="37" customFormat="1" ht="12.75" spans="7:14">
      <c r="G3124" s="58"/>
      <c r="H3124" s="59"/>
      <c r="I3124" s="58"/>
      <c r="K3124" s="60"/>
      <c r="N3124" s="62"/>
    </row>
    <row r="3125" s="37" customFormat="1" ht="12.75" spans="7:14">
      <c r="G3125" s="58"/>
      <c r="H3125" s="59"/>
      <c r="I3125" s="58"/>
      <c r="K3125" s="60"/>
      <c r="N3125" s="62"/>
    </row>
    <row r="3126" s="37" customFormat="1" ht="12.75" spans="7:14">
      <c r="G3126" s="58"/>
      <c r="H3126" s="59"/>
      <c r="I3126" s="58"/>
      <c r="K3126" s="60"/>
      <c r="N3126" s="62"/>
    </row>
    <row r="3127" s="37" customFormat="1" ht="12.75" spans="7:14">
      <c r="G3127" s="58"/>
      <c r="H3127" s="59"/>
      <c r="I3127" s="58"/>
      <c r="K3127" s="60"/>
      <c r="N3127" s="62"/>
    </row>
    <row r="3128" s="37" customFormat="1" ht="12.75" spans="7:14">
      <c r="G3128" s="58"/>
      <c r="H3128" s="59"/>
      <c r="I3128" s="58"/>
      <c r="K3128" s="60"/>
      <c r="N3128" s="62"/>
    </row>
    <row r="3129" s="37" customFormat="1" ht="12.75" spans="7:14">
      <c r="G3129" s="58"/>
      <c r="H3129" s="59"/>
      <c r="I3129" s="58"/>
      <c r="K3129" s="60"/>
      <c r="N3129" s="62"/>
    </row>
    <row r="3130" s="37" customFormat="1" ht="12.75" spans="7:14">
      <c r="G3130" s="58"/>
      <c r="H3130" s="59"/>
      <c r="I3130" s="58"/>
      <c r="K3130" s="60"/>
      <c r="N3130" s="62"/>
    </row>
    <row r="3131" s="37" customFormat="1" ht="12.75" spans="7:14">
      <c r="G3131" s="58"/>
      <c r="H3131" s="59"/>
      <c r="I3131" s="58"/>
      <c r="K3131" s="60"/>
      <c r="N3131" s="62"/>
    </row>
    <row r="3132" s="37" customFormat="1" ht="12.75" spans="7:14">
      <c r="G3132" s="58"/>
      <c r="H3132" s="59"/>
      <c r="I3132" s="58"/>
      <c r="K3132" s="60"/>
      <c r="N3132" s="62"/>
    </row>
    <row r="3133" s="37" customFormat="1" ht="12.75" spans="7:14">
      <c r="G3133" s="58"/>
      <c r="H3133" s="59"/>
      <c r="I3133" s="58"/>
      <c r="K3133" s="60"/>
      <c r="N3133" s="62"/>
    </row>
    <row r="3134" s="37" customFormat="1" ht="12.75" spans="7:14">
      <c r="G3134" s="58"/>
      <c r="H3134" s="59"/>
      <c r="I3134" s="58"/>
      <c r="K3134" s="60"/>
      <c r="N3134" s="62"/>
    </row>
    <row r="3135" s="37" customFormat="1" ht="12.75" spans="7:14">
      <c r="G3135" s="58"/>
      <c r="H3135" s="59"/>
      <c r="I3135" s="58"/>
      <c r="K3135" s="60"/>
      <c r="N3135" s="62"/>
    </row>
    <row r="3136" s="37" customFormat="1" ht="12.75" spans="7:14">
      <c r="G3136" s="58"/>
      <c r="H3136" s="59"/>
      <c r="I3136" s="58"/>
      <c r="K3136" s="60"/>
      <c r="N3136" s="62"/>
    </row>
    <row r="3137" s="37" customFormat="1" ht="12.75" spans="1:14">
      <c r="G3137" s="58"/>
      <c r="H3137" s="59"/>
      <c r="I3137" s="58"/>
      <c r="K3137" s="60"/>
      <c r="N3137" s="62"/>
    </row>
    <row r="3138" s="37" customFormat="1" ht="12.75" spans="1:14">
      <c r="G3138" s="58"/>
      <c r="H3138" s="59"/>
      <c r="I3138" s="58"/>
      <c r="K3138" s="60"/>
      <c r="N3138" s="62"/>
    </row>
    <row r="3139" s="37" customFormat="1" ht="12.75" spans="1:14">
      <c r="G3139" s="58"/>
      <c r="H3139" s="59"/>
      <c r="I3139" s="58"/>
      <c r="K3139" s="60"/>
      <c r="N3139" s="62"/>
    </row>
    <row r="3140" s="37" customFormat="1" ht="12.75" spans="1:14">
      <c r="G3140" s="58"/>
      <c r="H3140" s="59"/>
      <c r="I3140" s="58"/>
      <c r="K3140" s="60"/>
      <c r="N3140" s="62"/>
    </row>
    <row r="3141" s="37" customFormat="1" ht="12.75" spans="1:14">
      <c r="G3141" s="58"/>
      <c r="H3141" s="59"/>
      <c r="I3141" s="58"/>
      <c r="K3141" s="60"/>
      <c r="N3141" s="62"/>
    </row>
    <row r="3142" s="37" customFormat="1" ht="12.75" spans="1:14">
      <c r="G3142" s="58"/>
      <c r="H3142" s="59"/>
      <c r="I3142" s="58"/>
      <c r="K3142" s="60"/>
      <c r="N3142" s="62"/>
    </row>
    <row r="3143" s="37" customFormat="1" ht="12.75" spans="1:14">
      <c r="A3143" s="54"/>
      <c r="B3143" s="54"/>
      <c r="C3143" s="54"/>
      <c r="D3143" s="54"/>
      <c r="E3143" s="54"/>
      <c r="G3143" s="58"/>
      <c r="H3143" s="66"/>
      <c r="I3143" s="58"/>
      <c r="K3143" s="60"/>
      <c r="N3143" s="62"/>
    </row>
    <row r="3144" s="37" customFormat="1" ht="12.75" spans="1:14">
      <c r="A3144" s="54"/>
      <c r="B3144" s="54"/>
      <c r="C3144" s="54"/>
      <c r="D3144" s="54"/>
      <c r="E3144" s="54"/>
      <c r="G3144" s="58"/>
      <c r="H3144" s="66"/>
      <c r="I3144" s="58"/>
      <c r="K3144" s="60"/>
      <c r="N3144" s="62"/>
    </row>
    <row r="3145" s="37" customFormat="1" ht="12.75" spans="1:14">
      <c r="A3145" s="54"/>
      <c r="B3145" s="54"/>
      <c r="C3145" s="54"/>
      <c r="D3145" s="54"/>
      <c r="E3145" s="54"/>
      <c r="G3145" s="58"/>
      <c r="H3145" s="66"/>
      <c r="I3145" s="58"/>
      <c r="K3145" s="60"/>
      <c r="N3145" s="62"/>
    </row>
    <row r="3146" s="37" customFormat="1" ht="12.75" spans="1:14">
      <c r="A3146" s="54"/>
      <c r="B3146" s="54"/>
      <c r="C3146" s="54"/>
      <c r="D3146" s="54"/>
      <c r="E3146" s="54"/>
      <c r="G3146" s="58"/>
      <c r="H3146" s="66"/>
      <c r="I3146" s="58"/>
      <c r="K3146" s="60"/>
      <c r="N3146" s="62"/>
    </row>
    <row r="3147" s="37" customFormat="1" ht="12.75" spans="1:14">
      <c r="A3147" s="54"/>
      <c r="B3147" s="54"/>
      <c r="C3147" s="54"/>
      <c r="D3147" s="54"/>
      <c r="E3147" s="54"/>
      <c r="G3147" s="58"/>
      <c r="H3147" s="66"/>
      <c r="I3147" s="58"/>
      <c r="K3147" s="60"/>
      <c r="N3147" s="62"/>
    </row>
    <row r="3148" s="37" customFormat="1" ht="12.75" spans="1:14">
      <c r="A3148" s="54"/>
      <c r="B3148" s="54"/>
      <c r="C3148" s="54"/>
      <c r="D3148" s="54"/>
      <c r="E3148" s="54"/>
      <c r="G3148" s="58"/>
      <c r="H3148" s="66"/>
      <c r="I3148" s="58"/>
      <c r="K3148" s="60"/>
      <c r="N3148" s="62"/>
    </row>
    <row r="3149" s="37" customFormat="1" ht="12.75" spans="1:14">
      <c r="G3149" s="58"/>
      <c r="H3149" s="59"/>
      <c r="I3149" s="58"/>
      <c r="K3149" s="60"/>
      <c r="N3149" s="62"/>
    </row>
    <row r="3150" s="37" customFormat="1" ht="12.75" spans="1:14">
      <c r="G3150" s="58"/>
      <c r="H3150" s="59"/>
      <c r="I3150" s="58"/>
      <c r="K3150" s="60"/>
      <c r="N3150" s="62"/>
    </row>
    <row r="3151" s="37" customFormat="1" ht="12.75" spans="1:14">
      <c r="G3151" s="58"/>
      <c r="H3151" s="59"/>
      <c r="I3151" s="58"/>
      <c r="K3151" s="60"/>
      <c r="N3151" s="62"/>
    </row>
    <row r="3152" s="37" customFormat="1" ht="12.75" spans="1:14">
      <c r="G3152" s="58"/>
      <c r="H3152" s="59"/>
      <c r="I3152" s="58"/>
      <c r="K3152" s="60"/>
      <c r="N3152" s="62"/>
    </row>
    <row r="3153" s="37" customFormat="1" ht="12.75" spans="1:14">
      <c r="G3153" s="58"/>
      <c r="H3153" s="59"/>
      <c r="I3153" s="58"/>
      <c r="K3153" s="60"/>
      <c r="N3153" s="62"/>
    </row>
    <row r="3154" s="37" customFormat="1" ht="12.75" spans="1:14">
      <c r="A3154" s="54"/>
      <c r="B3154" s="54"/>
      <c r="C3154" s="54"/>
      <c r="D3154" s="54"/>
      <c r="E3154" s="54"/>
      <c r="G3154" s="58"/>
      <c r="H3154" s="66"/>
      <c r="I3154" s="58"/>
      <c r="K3154" s="60"/>
      <c r="N3154" s="62"/>
    </row>
    <row r="3155" s="37" customFormat="1" ht="12.75" spans="1:14">
      <c r="A3155" s="54"/>
      <c r="B3155" s="54"/>
      <c r="C3155" s="54"/>
      <c r="D3155" s="54"/>
      <c r="E3155" s="54"/>
      <c r="G3155" s="58"/>
      <c r="H3155" s="66"/>
      <c r="I3155" s="58"/>
      <c r="K3155" s="60"/>
      <c r="N3155" s="62"/>
    </row>
    <row r="3156" s="37" customFormat="1" ht="12.75" spans="1:14">
      <c r="A3156" s="54"/>
      <c r="B3156" s="54"/>
      <c r="C3156" s="54"/>
      <c r="D3156" s="54"/>
      <c r="E3156" s="54"/>
      <c r="G3156" s="58"/>
      <c r="H3156" s="66"/>
      <c r="I3156" s="58"/>
      <c r="K3156" s="60"/>
      <c r="N3156" s="62"/>
    </row>
    <row r="3157" s="37" customFormat="1" ht="12.75" spans="1:14">
      <c r="A3157" s="54"/>
      <c r="B3157" s="54"/>
      <c r="C3157" s="54"/>
      <c r="D3157" s="54"/>
      <c r="E3157" s="54"/>
      <c r="G3157" s="58"/>
      <c r="H3157" s="66"/>
      <c r="I3157" s="58"/>
      <c r="K3157" s="60"/>
      <c r="N3157" s="62"/>
    </row>
    <row r="3158" s="37" customFormat="1" ht="12.75" spans="1:14">
      <c r="A3158" s="54"/>
      <c r="B3158" s="54"/>
      <c r="C3158" s="54"/>
      <c r="D3158" s="54"/>
      <c r="E3158" s="54"/>
      <c r="G3158" s="58"/>
      <c r="H3158" s="66"/>
      <c r="I3158" s="58"/>
      <c r="K3158" s="60"/>
      <c r="N3158" s="62"/>
    </row>
    <row r="3159" s="37" customFormat="1" ht="12.75" spans="1:14">
      <c r="A3159" s="54"/>
      <c r="B3159" s="54"/>
      <c r="C3159" s="54"/>
      <c r="D3159" s="54"/>
      <c r="E3159" s="54"/>
      <c r="G3159" s="58"/>
      <c r="H3159" s="66"/>
      <c r="I3159" s="58"/>
      <c r="K3159" s="60"/>
      <c r="N3159" s="62"/>
    </row>
    <row r="3160" s="37" customFormat="1" ht="12.75" spans="1:14">
      <c r="G3160" s="58"/>
      <c r="H3160" s="59"/>
      <c r="I3160" s="58"/>
      <c r="K3160" s="60"/>
      <c r="N3160" s="62"/>
    </row>
    <row r="3161" s="37" customFormat="1" ht="12.75" spans="1:14">
      <c r="G3161" s="58"/>
      <c r="H3161" s="59"/>
      <c r="I3161" s="58"/>
      <c r="K3161" s="60"/>
      <c r="N3161" s="62"/>
    </row>
    <row r="3162" s="37" customFormat="1" ht="12.75" spans="1:14">
      <c r="G3162" s="58"/>
      <c r="H3162" s="59"/>
      <c r="I3162" s="58"/>
      <c r="K3162" s="60"/>
      <c r="N3162" s="62"/>
    </row>
    <row r="3163" s="37" customFormat="1" ht="12.75" spans="1:14">
      <c r="G3163" s="58"/>
      <c r="H3163" s="59"/>
      <c r="I3163" s="58"/>
      <c r="K3163" s="60"/>
      <c r="N3163" s="62"/>
    </row>
    <row r="3164" s="37" customFormat="1" ht="12.75" spans="1:14">
      <c r="G3164" s="58"/>
      <c r="H3164" s="59"/>
      <c r="I3164" s="58"/>
      <c r="K3164" s="60"/>
      <c r="N3164" s="62"/>
    </row>
    <row r="3165" s="37" customFormat="1" ht="12.75" spans="1:14">
      <c r="G3165" s="58"/>
      <c r="H3165" s="59"/>
      <c r="I3165" s="58"/>
      <c r="K3165" s="60"/>
      <c r="N3165" s="62"/>
    </row>
    <row r="3166" s="37" customFormat="1" ht="12.75" spans="1:14">
      <c r="G3166" s="58"/>
      <c r="H3166" s="59"/>
      <c r="I3166" s="58"/>
      <c r="K3166" s="60"/>
      <c r="N3166" s="62"/>
    </row>
    <row r="3167" s="37" customFormat="1" ht="12.75" spans="1:14">
      <c r="G3167" s="58"/>
      <c r="H3167" s="59"/>
      <c r="I3167" s="58"/>
      <c r="K3167" s="60"/>
      <c r="N3167" s="62"/>
    </row>
    <row r="3168" s="37" customFormat="1" ht="12.75" spans="1:14">
      <c r="G3168" s="58"/>
      <c r="H3168" s="59"/>
      <c r="I3168" s="58"/>
      <c r="K3168" s="60"/>
      <c r="N3168" s="62"/>
    </row>
    <row r="3169" s="37" customFormat="1" ht="12.75" spans="7:14">
      <c r="G3169" s="58"/>
      <c r="H3169" s="59"/>
      <c r="I3169" s="58"/>
      <c r="K3169" s="60"/>
      <c r="N3169" s="62"/>
    </row>
    <row r="3170" s="37" customFormat="1" ht="12.75" spans="7:14">
      <c r="G3170" s="58"/>
      <c r="H3170" s="59"/>
      <c r="I3170" s="58"/>
      <c r="K3170" s="60"/>
      <c r="N3170" s="62"/>
    </row>
    <row r="3171" s="37" customFormat="1" ht="12.75" spans="7:14">
      <c r="G3171" s="58"/>
      <c r="H3171" s="59"/>
      <c r="I3171" s="58"/>
      <c r="K3171" s="60"/>
      <c r="N3171" s="62"/>
    </row>
    <row r="3172" s="37" customFormat="1" ht="12.75" spans="7:14">
      <c r="G3172" s="58"/>
      <c r="H3172" s="59"/>
      <c r="I3172" s="58"/>
      <c r="K3172" s="60"/>
      <c r="N3172" s="62"/>
    </row>
    <row r="3173" s="37" customFormat="1" ht="12.75" spans="7:14">
      <c r="G3173" s="58"/>
      <c r="H3173" s="59"/>
      <c r="I3173" s="58"/>
      <c r="K3173" s="60"/>
      <c r="N3173" s="62"/>
    </row>
    <row r="3174" s="37" customFormat="1" ht="12.75" spans="7:14">
      <c r="G3174" s="58"/>
      <c r="H3174" s="59"/>
      <c r="I3174" s="58"/>
      <c r="K3174" s="60"/>
      <c r="N3174" s="62"/>
    </row>
    <row r="3175" s="37" customFormat="1" ht="12.75" spans="7:14">
      <c r="G3175" s="58"/>
      <c r="H3175" s="59"/>
      <c r="I3175" s="58"/>
      <c r="K3175" s="60"/>
      <c r="N3175" s="62"/>
    </row>
    <row r="3176" s="37" customFormat="1" ht="12.75" spans="7:14">
      <c r="G3176" s="58"/>
      <c r="H3176" s="59"/>
      <c r="I3176" s="58"/>
      <c r="K3176" s="60"/>
      <c r="N3176" s="62"/>
    </row>
    <row r="3177" s="37" customFormat="1" ht="12.75" spans="7:14">
      <c r="G3177" s="58"/>
      <c r="H3177" s="59"/>
      <c r="I3177" s="58"/>
      <c r="K3177" s="60"/>
      <c r="N3177" s="62"/>
    </row>
    <row r="3178" s="37" customFormat="1" ht="12.75" spans="7:14">
      <c r="G3178" s="58"/>
      <c r="H3178" s="59"/>
      <c r="I3178" s="58"/>
      <c r="K3178" s="60"/>
      <c r="N3178" s="62"/>
    </row>
    <row r="3179" s="37" customFormat="1" ht="12.75" spans="7:14">
      <c r="G3179" s="58"/>
      <c r="H3179" s="59"/>
      <c r="I3179" s="58"/>
      <c r="K3179" s="60"/>
      <c r="N3179" s="62"/>
    </row>
    <row r="3180" s="37" customFormat="1" ht="12.75" spans="7:14">
      <c r="G3180" s="58"/>
      <c r="H3180" s="59"/>
      <c r="I3180" s="58"/>
      <c r="K3180" s="60"/>
      <c r="N3180" s="62"/>
    </row>
    <row r="3181" s="37" customFormat="1" ht="12.75" spans="7:14">
      <c r="G3181" s="58"/>
      <c r="H3181" s="59"/>
      <c r="I3181" s="58"/>
      <c r="K3181" s="60"/>
      <c r="N3181" s="62"/>
    </row>
    <row r="3182" s="37" customFormat="1" ht="12.75" spans="7:14">
      <c r="G3182" s="58"/>
      <c r="H3182" s="59"/>
      <c r="I3182" s="58"/>
      <c r="K3182" s="60"/>
      <c r="N3182" s="62"/>
    </row>
    <row r="3183" s="37" customFormat="1" ht="12.75" spans="7:14">
      <c r="G3183" s="58"/>
      <c r="H3183" s="59"/>
      <c r="I3183" s="58"/>
      <c r="K3183" s="60"/>
      <c r="N3183" s="62"/>
    </row>
    <row r="3184" s="37" customFormat="1" ht="12.75" spans="7:14">
      <c r="G3184" s="58"/>
      <c r="H3184" s="59"/>
      <c r="I3184" s="58"/>
      <c r="K3184" s="60"/>
      <c r="N3184" s="62"/>
    </row>
    <row r="3185" s="37" customFormat="1" ht="12.75" spans="7:14">
      <c r="G3185" s="58"/>
      <c r="H3185" s="59"/>
      <c r="I3185" s="58"/>
      <c r="K3185" s="60"/>
      <c r="N3185" s="62"/>
    </row>
    <row r="3186" s="37" customFormat="1" ht="12.75" spans="7:14">
      <c r="G3186" s="58"/>
      <c r="H3186" s="59"/>
      <c r="I3186" s="58"/>
      <c r="K3186" s="60"/>
      <c r="N3186" s="62"/>
    </row>
    <row r="3187" s="37" customFormat="1" ht="12.75" spans="7:14">
      <c r="G3187" s="58"/>
      <c r="H3187" s="59"/>
      <c r="I3187" s="58"/>
      <c r="K3187" s="60"/>
      <c r="N3187" s="62"/>
    </row>
    <row r="3188" s="37" customFormat="1" ht="12.75" spans="7:14">
      <c r="G3188" s="58"/>
      <c r="H3188" s="59"/>
      <c r="I3188" s="58"/>
      <c r="K3188" s="60"/>
      <c r="N3188" s="62"/>
    </row>
    <row r="3189" s="37" customFormat="1" ht="12.75" spans="7:14">
      <c r="G3189" s="58"/>
      <c r="H3189" s="59"/>
      <c r="I3189" s="58"/>
      <c r="K3189" s="60"/>
      <c r="N3189" s="62"/>
    </row>
    <row r="3190" s="37" customFormat="1" ht="12.75" spans="7:14">
      <c r="G3190" s="58"/>
      <c r="H3190" s="59"/>
      <c r="I3190" s="58"/>
      <c r="K3190" s="60"/>
      <c r="N3190" s="62"/>
    </row>
    <row r="3191" s="37" customFormat="1" ht="12.75" spans="7:14">
      <c r="G3191" s="58"/>
      <c r="H3191" s="59"/>
      <c r="I3191" s="58"/>
      <c r="K3191" s="60"/>
      <c r="N3191" s="62"/>
    </row>
    <row r="3192" s="37" customFormat="1" ht="12.75" spans="7:14">
      <c r="G3192" s="58"/>
      <c r="H3192" s="59"/>
      <c r="I3192" s="58"/>
      <c r="K3192" s="60"/>
      <c r="N3192" s="62"/>
    </row>
    <row r="3193" s="37" customFormat="1" ht="12.75" spans="7:14">
      <c r="G3193" s="58"/>
      <c r="H3193" s="59"/>
      <c r="I3193" s="58"/>
      <c r="K3193" s="60"/>
      <c r="N3193" s="62"/>
    </row>
    <row r="3194" s="37" customFormat="1" ht="12.75" spans="7:14">
      <c r="G3194" s="58"/>
      <c r="H3194" s="59"/>
      <c r="I3194" s="58"/>
      <c r="K3194" s="60"/>
      <c r="N3194" s="62"/>
    </row>
    <row r="3195" s="37" customFormat="1" ht="12.75" spans="7:14">
      <c r="G3195" s="58"/>
      <c r="H3195" s="59"/>
      <c r="I3195" s="58"/>
      <c r="K3195" s="60"/>
      <c r="N3195" s="62"/>
    </row>
    <row r="3196" s="37" customFormat="1" ht="12.75" spans="7:14">
      <c r="G3196" s="58"/>
      <c r="H3196" s="59"/>
      <c r="I3196" s="58"/>
      <c r="K3196" s="60"/>
      <c r="N3196" s="62"/>
    </row>
    <row r="3197" s="37" customFormat="1" ht="12.75" spans="7:14">
      <c r="G3197" s="58"/>
      <c r="H3197" s="59"/>
      <c r="I3197" s="58"/>
      <c r="K3197" s="60"/>
      <c r="N3197" s="62"/>
    </row>
    <row r="3198" s="37" customFormat="1" ht="12.75" spans="7:14">
      <c r="G3198" s="58"/>
      <c r="H3198" s="59"/>
      <c r="I3198" s="58"/>
      <c r="K3198" s="60"/>
      <c r="N3198" s="62"/>
    </row>
    <row r="3199" s="37" customFormat="1" ht="12.75" spans="7:14">
      <c r="G3199" s="58"/>
      <c r="H3199" s="59"/>
      <c r="I3199" s="58"/>
      <c r="K3199" s="60"/>
      <c r="N3199" s="62"/>
    </row>
    <row r="3200" s="37" customFormat="1" ht="12.75" spans="7:14">
      <c r="G3200" s="58"/>
      <c r="H3200" s="59"/>
      <c r="I3200" s="58"/>
      <c r="K3200" s="60"/>
      <c r="N3200" s="62"/>
    </row>
    <row r="3201" s="37" customFormat="1" ht="12.75" spans="1:14">
      <c r="G3201" s="58"/>
      <c r="H3201" s="59"/>
      <c r="I3201" s="58"/>
      <c r="K3201" s="60"/>
      <c r="N3201" s="62"/>
    </row>
    <row r="3202" s="37" customFormat="1" ht="12.75" spans="1:14">
      <c r="G3202" s="58"/>
      <c r="H3202" s="59"/>
      <c r="I3202" s="58"/>
      <c r="K3202" s="60"/>
      <c r="N3202" s="62"/>
    </row>
    <row r="3203" s="37" customFormat="1" ht="12.75" spans="1:14">
      <c r="G3203" s="58"/>
      <c r="H3203" s="59"/>
      <c r="I3203" s="58"/>
      <c r="K3203" s="60"/>
      <c r="N3203" s="62"/>
    </row>
    <row r="3204" s="37" customFormat="1" ht="12.75" spans="1:14">
      <c r="G3204" s="58"/>
      <c r="H3204" s="59"/>
      <c r="I3204" s="58"/>
      <c r="K3204" s="60"/>
      <c r="N3204" s="62"/>
    </row>
    <row r="3205" s="37" customFormat="1" ht="12.75" spans="1:14">
      <c r="G3205" s="58"/>
      <c r="H3205" s="59"/>
      <c r="I3205" s="58"/>
      <c r="K3205" s="60"/>
      <c r="N3205" s="62"/>
    </row>
    <row r="3206" s="37" customFormat="1" ht="12.75" spans="1:14">
      <c r="A3206" s="54"/>
      <c r="B3206" s="54"/>
      <c r="C3206" s="54"/>
      <c r="D3206" s="54"/>
      <c r="E3206" s="54"/>
      <c r="G3206" s="58"/>
      <c r="H3206" s="66"/>
      <c r="I3206" s="58"/>
      <c r="K3206" s="60"/>
      <c r="N3206" s="62"/>
    </row>
    <row r="3207" s="37" customFormat="1" ht="12.75" spans="1:14">
      <c r="A3207" s="54"/>
      <c r="B3207" s="54"/>
      <c r="C3207" s="54"/>
      <c r="D3207" s="54"/>
      <c r="E3207" s="54"/>
      <c r="G3207" s="58"/>
      <c r="H3207" s="66"/>
      <c r="I3207" s="58"/>
      <c r="K3207" s="60"/>
      <c r="N3207" s="62"/>
    </row>
    <row r="3208" s="37" customFormat="1" ht="12.75" spans="1:14">
      <c r="A3208" s="54"/>
      <c r="B3208" s="54"/>
      <c r="C3208" s="54"/>
      <c r="D3208" s="54"/>
      <c r="E3208" s="54"/>
      <c r="G3208" s="58"/>
      <c r="H3208" s="66"/>
      <c r="I3208" s="58"/>
      <c r="K3208" s="60"/>
      <c r="N3208" s="62"/>
    </row>
    <row r="3209" s="37" customFormat="1" ht="12.75" spans="1:14">
      <c r="A3209" s="54"/>
      <c r="B3209" s="54"/>
      <c r="C3209" s="54"/>
      <c r="D3209" s="54"/>
      <c r="E3209" s="54"/>
      <c r="G3209" s="58"/>
      <c r="H3209" s="66"/>
      <c r="I3209" s="58"/>
      <c r="K3209" s="60"/>
      <c r="N3209" s="62"/>
    </row>
    <row r="3210" s="37" customFormat="1" ht="12.75" spans="1:14">
      <c r="G3210" s="58"/>
      <c r="H3210" s="59"/>
      <c r="I3210" s="58"/>
      <c r="K3210" s="60"/>
      <c r="N3210" s="62"/>
    </row>
    <row r="3211" s="37" customFormat="1" ht="12.75" spans="1:14">
      <c r="G3211" s="58"/>
      <c r="H3211" s="59"/>
      <c r="I3211" s="58"/>
      <c r="K3211" s="60"/>
      <c r="N3211" s="62"/>
    </row>
    <row r="3212" s="37" customFormat="1" ht="12.75" spans="1:14">
      <c r="G3212" s="58"/>
      <c r="H3212" s="59"/>
      <c r="I3212" s="58"/>
      <c r="K3212" s="60"/>
      <c r="N3212" s="62"/>
    </row>
    <row r="3213" s="37" customFormat="1" ht="12.75" spans="1:14">
      <c r="G3213" s="58"/>
      <c r="H3213" s="59"/>
      <c r="I3213" s="58"/>
      <c r="K3213" s="60"/>
      <c r="N3213" s="62"/>
    </row>
    <row r="3214" s="37" customFormat="1" ht="12.75" spans="1:14">
      <c r="G3214" s="58"/>
      <c r="H3214" s="59"/>
      <c r="I3214" s="58"/>
      <c r="K3214" s="60"/>
      <c r="N3214" s="62"/>
    </row>
    <row r="3215" s="37" customFormat="1" ht="12.75" spans="1:14">
      <c r="G3215" s="58"/>
      <c r="H3215" s="59"/>
      <c r="I3215" s="58"/>
      <c r="K3215" s="60"/>
      <c r="N3215" s="62"/>
    </row>
    <row r="3216" s="37" customFormat="1" ht="12.75" spans="1:14">
      <c r="G3216" s="58"/>
      <c r="H3216" s="59"/>
      <c r="I3216" s="58"/>
      <c r="K3216" s="60"/>
      <c r="N3216" s="62"/>
    </row>
    <row r="3217" s="37" customFormat="1" ht="12.75" spans="7:14">
      <c r="G3217" s="58"/>
      <c r="H3217" s="59"/>
      <c r="I3217" s="58"/>
      <c r="K3217" s="60"/>
      <c r="N3217" s="62"/>
    </row>
    <row r="3218" s="37" customFormat="1" ht="12.75" spans="7:14">
      <c r="G3218" s="58"/>
      <c r="H3218" s="59"/>
      <c r="I3218" s="58"/>
      <c r="K3218" s="60"/>
    </row>
    <row r="3219" s="37" customFormat="1" ht="12.75" spans="7:14">
      <c r="G3219" s="58"/>
      <c r="H3219" s="59"/>
      <c r="I3219" s="58"/>
      <c r="K3219" s="60"/>
    </row>
    <row r="3220" s="37" customFormat="1" ht="12.75" spans="7:14">
      <c r="G3220" s="58"/>
      <c r="H3220" s="59"/>
      <c r="I3220" s="58"/>
      <c r="K3220" s="60"/>
    </row>
    <row r="3221" s="37" customFormat="1" ht="12.75" spans="7:14">
      <c r="G3221" s="58"/>
      <c r="H3221" s="59"/>
      <c r="I3221" s="58"/>
      <c r="K3221" s="60"/>
    </row>
    <row r="3222" s="37" customFormat="1" ht="12.75" spans="7:14">
      <c r="G3222" s="58"/>
      <c r="H3222" s="59"/>
      <c r="I3222" s="58"/>
      <c r="K3222" s="60"/>
    </row>
    <row r="3223" s="37" customFormat="1" ht="12.75" spans="7:14">
      <c r="G3223" s="58"/>
      <c r="H3223" s="59"/>
      <c r="I3223" s="58"/>
      <c r="K3223" s="60"/>
    </row>
    <row r="3224" s="37" customFormat="1" ht="12.75" spans="7:14">
      <c r="G3224" s="58"/>
      <c r="H3224" s="59"/>
      <c r="I3224" s="58"/>
      <c r="K3224" s="60"/>
    </row>
    <row r="3225" s="37" customFormat="1" ht="12.75" spans="7:14">
      <c r="G3225" s="58"/>
      <c r="H3225" s="59"/>
      <c r="I3225" s="58"/>
      <c r="K3225" s="60"/>
    </row>
    <row r="3226" s="37" customFormat="1" ht="12.75" spans="7:14">
      <c r="G3226" s="58"/>
      <c r="H3226" s="59"/>
      <c r="I3226" s="58"/>
      <c r="K3226" s="60"/>
    </row>
    <row r="3227" s="37" customFormat="1" ht="12.75" spans="7:14">
      <c r="G3227" s="58"/>
      <c r="H3227" s="59"/>
      <c r="I3227" s="58"/>
      <c r="K3227" s="60"/>
    </row>
    <row r="3228" s="37" customFormat="1" ht="12.75" spans="7:14">
      <c r="G3228" s="58"/>
      <c r="H3228" s="59"/>
      <c r="I3228" s="58"/>
      <c r="K3228" s="60"/>
    </row>
    <row r="3229" s="37" customFormat="1" ht="12.75" spans="7:14">
      <c r="G3229" s="58"/>
      <c r="H3229" s="59"/>
      <c r="I3229" s="58"/>
      <c r="K3229" s="60"/>
    </row>
    <row r="3230" s="37" customFormat="1" ht="12.75" spans="7:14">
      <c r="G3230" s="58"/>
      <c r="H3230" s="59"/>
      <c r="I3230" s="58"/>
      <c r="K3230" s="60"/>
    </row>
    <row r="3231" s="37" customFormat="1" ht="12.75" spans="7:14">
      <c r="G3231" s="58"/>
      <c r="H3231" s="59"/>
      <c r="I3231" s="58"/>
      <c r="K3231" s="60"/>
    </row>
    <row r="3232" s="37" customFormat="1" ht="12.75" spans="7:14">
      <c r="G3232" s="58"/>
      <c r="H3232" s="59"/>
      <c r="I3232" s="58"/>
      <c r="K3232" s="60"/>
    </row>
    <row r="3233" s="37" customFormat="1" ht="12.75" spans="1:14">
      <c r="G3233" s="58"/>
      <c r="H3233" s="59"/>
      <c r="I3233" s="58"/>
      <c r="K3233" s="60"/>
    </row>
    <row r="3234" s="37" customFormat="1" ht="12.75" spans="1:14">
      <c r="G3234" s="58"/>
      <c r="H3234" s="59"/>
      <c r="I3234" s="58"/>
      <c r="K3234" s="60"/>
    </row>
    <row r="3235" s="37" customFormat="1" ht="12.75" spans="1:14">
      <c r="G3235" s="58"/>
      <c r="H3235" s="59"/>
      <c r="I3235" s="58"/>
      <c r="K3235" s="60"/>
    </row>
    <row r="3236" s="37" customFormat="1" ht="12.75" spans="1:14">
      <c r="G3236" s="58"/>
      <c r="H3236" s="59"/>
      <c r="I3236" s="58"/>
      <c r="K3236" s="60"/>
    </row>
    <row r="3237" s="37" customFormat="1" ht="12.75" spans="1:14">
      <c r="G3237" s="58"/>
      <c r="H3237" s="59"/>
      <c r="I3237" s="58"/>
      <c r="K3237" s="60"/>
    </row>
    <row r="3238" s="37" customFormat="1" ht="12.75" spans="1:14">
      <c r="G3238" s="58"/>
      <c r="H3238" s="59"/>
      <c r="I3238" s="58"/>
      <c r="K3238" s="60"/>
    </row>
    <row r="3239" s="37" customFormat="1" ht="12.75" spans="1:14">
      <c r="C3239" s="64"/>
      <c r="D3239" s="64"/>
      <c r="G3239" s="58"/>
      <c r="H3239" s="59"/>
      <c r="I3239" s="58"/>
      <c r="K3239" s="60"/>
    </row>
    <row r="3240" s="37" customFormat="1" ht="12.75" spans="1:14">
      <c r="C3240" s="64"/>
      <c r="D3240" s="64"/>
      <c r="G3240" s="58"/>
      <c r="H3240" s="59"/>
      <c r="I3240" s="58"/>
      <c r="K3240" s="60"/>
    </row>
    <row r="3241" s="37" customFormat="1" ht="12.75" spans="1:14">
      <c r="C3241" s="67"/>
      <c r="D3241" s="67"/>
      <c r="G3241" s="58"/>
      <c r="H3241" s="59"/>
      <c r="I3241" s="58"/>
      <c r="K3241" s="60"/>
    </row>
    <row r="3242" s="37" customFormat="1" ht="12.75" spans="1:14">
      <c r="C3242" s="67"/>
      <c r="D3242" s="67"/>
      <c r="G3242" s="58"/>
      <c r="H3242" s="59"/>
      <c r="I3242" s="58"/>
      <c r="K3242" s="60"/>
    </row>
    <row r="3243" s="54" customFormat="1" ht="12.75" spans="1:14">
      <c r="A3243" s="37"/>
      <c r="B3243" s="37"/>
      <c r="C3243" s="67"/>
      <c r="D3243" s="67"/>
      <c r="E3243" s="37"/>
      <c r="F3243" s="37"/>
      <c r="G3243" s="58"/>
      <c r="H3243" s="59"/>
      <c r="I3243" s="58"/>
      <c r="K3243" s="78"/>
    </row>
    <row r="3244" s="54" customFormat="1" ht="12.75" spans="1:14">
      <c r="A3244" s="37"/>
      <c r="B3244" s="37"/>
      <c r="C3244" s="67"/>
      <c r="D3244" s="67"/>
      <c r="E3244" s="37"/>
      <c r="F3244" s="37"/>
      <c r="G3244" s="58"/>
      <c r="H3244" s="59"/>
      <c r="I3244" s="58"/>
      <c r="K3244" s="78"/>
    </row>
    <row r="3245" s="54" customFormat="1" ht="12.75" spans="1:14">
      <c r="A3245" s="37"/>
      <c r="B3245" s="37"/>
      <c r="C3245" s="67"/>
      <c r="D3245" s="67"/>
      <c r="E3245" s="37"/>
      <c r="F3245" s="37"/>
      <c r="G3245" s="58"/>
      <c r="H3245" s="59"/>
      <c r="I3245" s="58"/>
      <c r="K3245" s="78"/>
    </row>
    <row r="3246" s="37" customFormat="1" ht="12.75" spans="1:14">
      <c r="C3246" s="67"/>
      <c r="D3246" s="67"/>
      <c r="G3246" s="58"/>
      <c r="H3246" s="59"/>
      <c r="I3246" s="58"/>
      <c r="K3246" s="60"/>
      <c r="N3246" s="62"/>
    </row>
    <row r="3247" s="37" customFormat="1" ht="12.75" spans="1:14">
      <c r="C3247" s="67"/>
      <c r="D3247" s="67"/>
      <c r="G3247" s="58"/>
      <c r="H3247" s="59"/>
      <c r="I3247" s="58"/>
      <c r="K3247" s="60"/>
      <c r="N3247" s="62"/>
    </row>
    <row r="3248" s="37" customFormat="1" ht="12.75" spans="1:14">
      <c r="C3248" s="67"/>
      <c r="D3248" s="67"/>
      <c r="G3248" s="58"/>
      <c r="H3248" s="59"/>
      <c r="I3248" s="58"/>
      <c r="K3248" s="60"/>
      <c r="N3248" s="62"/>
    </row>
    <row r="3249" s="37" customFormat="1" ht="12.75" spans="1:14">
      <c r="C3249" s="67"/>
      <c r="D3249" s="67"/>
      <c r="G3249" s="58"/>
      <c r="H3249" s="59"/>
      <c r="I3249" s="58"/>
      <c r="K3249" s="60"/>
      <c r="N3249" s="62"/>
    </row>
    <row r="3250" s="37" customFormat="1" ht="12.75" spans="1:14">
      <c r="C3250" s="67"/>
      <c r="D3250" s="67"/>
      <c r="G3250" s="58"/>
      <c r="H3250" s="59"/>
      <c r="I3250" s="58"/>
      <c r="K3250" s="60"/>
      <c r="N3250" s="62"/>
    </row>
    <row r="3251" s="37" customFormat="1" ht="12.75" spans="1:14">
      <c r="C3251" s="67"/>
      <c r="D3251" s="67"/>
      <c r="G3251" s="58"/>
      <c r="H3251" s="59"/>
      <c r="I3251" s="58"/>
      <c r="K3251" s="60"/>
      <c r="N3251" s="62"/>
    </row>
    <row r="3252" s="37" customFormat="1" ht="12.75" spans="1:14">
      <c r="C3252" s="67"/>
      <c r="D3252" s="67"/>
      <c r="G3252" s="58"/>
      <c r="H3252" s="59"/>
      <c r="I3252" s="58"/>
      <c r="K3252" s="60"/>
      <c r="N3252" s="62"/>
    </row>
    <row r="3253" s="37" customFormat="1" ht="12.75" spans="1:14">
      <c r="C3253" s="64"/>
      <c r="D3253" s="64"/>
      <c r="G3253" s="58"/>
      <c r="H3253" s="59"/>
      <c r="I3253" s="58"/>
      <c r="K3253" s="60"/>
      <c r="N3253" s="62"/>
    </row>
    <row r="3254" s="37" customFormat="1" ht="12.75" spans="1:14">
      <c r="G3254" s="58"/>
      <c r="H3254" s="59"/>
      <c r="I3254" s="58"/>
      <c r="K3254" s="60"/>
      <c r="N3254" s="62"/>
    </row>
    <row r="3255" s="37" customFormat="1" ht="12.75" spans="1:14">
      <c r="G3255" s="58"/>
      <c r="H3255" s="59"/>
      <c r="I3255" s="58"/>
      <c r="K3255" s="60"/>
      <c r="N3255" s="62"/>
    </row>
    <row r="3256" s="37" customFormat="1" ht="12.75" spans="1:14">
      <c r="G3256" s="58"/>
      <c r="H3256" s="59"/>
      <c r="I3256" s="58"/>
      <c r="K3256" s="60"/>
      <c r="N3256" s="62"/>
    </row>
    <row r="3257" s="37" customFormat="1" ht="12.75" spans="1:14">
      <c r="G3257" s="58"/>
      <c r="H3257" s="59"/>
      <c r="I3257" s="58"/>
      <c r="K3257" s="60"/>
      <c r="N3257" s="62"/>
    </row>
    <row r="3258" s="37" customFormat="1" ht="12.75" spans="1:14">
      <c r="G3258" s="58"/>
      <c r="H3258" s="59"/>
      <c r="I3258" s="58"/>
      <c r="K3258" s="60"/>
      <c r="N3258" s="62"/>
    </row>
    <row r="3259" s="37" customFormat="1" ht="12.75" spans="1:14">
      <c r="G3259" s="58"/>
      <c r="H3259" s="59"/>
      <c r="I3259" s="58"/>
      <c r="K3259" s="60"/>
      <c r="N3259" s="62"/>
    </row>
    <row r="3260" s="37" customFormat="1" ht="12.75" spans="1:14">
      <c r="G3260" s="58"/>
      <c r="H3260" s="59"/>
      <c r="I3260" s="58"/>
      <c r="K3260" s="60"/>
      <c r="N3260" s="62"/>
    </row>
    <row r="3261" s="37" customFormat="1" ht="12.75" spans="1:14">
      <c r="G3261" s="58"/>
      <c r="H3261" s="59"/>
      <c r="I3261" s="58"/>
      <c r="K3261" s="60"/>
      <c r="N3261" s="62"/>
    </row>
    <row r="3262" s="54" customFormat="1" ht="12.75" spans="1:14">
      <c r="A3262" s="37"/>
      <c r="B3262" s="37"/>
      <c r="C3262" s="37"/>
      <c r="D3262" s="37"/>
      <c r="E3262" s="37"/>
      <c r="F3262" s="37"/>
      <c r="G3262" s="58"/>
      <c r="H3262" s="59"/>
      <c r="I3262" s="58"/>
      <c r="K3262" s="78"/>
      <c r="N3262" s="77"/>
    </row>
    <row r="3263" s="37" customFormat="1" ht="12.75" spans="1:14">
      <c r="G3263" s="58"/>
      <c r="H3263" s="59"/>
      <c r="I3263" s="58"/>
      <c r="K3263" s="60"/>
      <c r="N3263" s="62"/>
    </row>
    <row r="3264" s="37" customFormat="1" ht="12.75" spans="1:14">
      <c r="G3264" s="58"/>
      <c r="H3264" s="59"/>
      <c r="I3264" s="58"/>
      <c r="K3264" s="60"/>
      <c r="N3264" s="62"/>
    </row>
    <row r="3265" s="37" customFormat="1" ht="12.75" spans="1:14">
      <c r="G3265" s="58"/>
      <c r="H3265" s="59"/>
      <c r="I3265" s="58"/>
      <c r="K3265" s="60"/>
      <c r="N3265" s="62"/>
    </row>
    <row r="3266" s="37" customFormat="1" ht="12.75" spans="1:14">
      <c r="G3266" s="58"/>
      <c r="H3266" s="59"/>
      <c r="I3266" s="58"/>
      <c r="K3266" s="60"/>
      <c r="N3266" s="62"/>
    </row>
    <row r="3267" s="37" customFormat="1" ht="12.75" spans="1:14">
      <c r="G3267" s="58"/>
      <c r="H3267" s="59"/>
      <c r="I3267" s="58"/>
      <c r="K3267" s="60"/>
      <c r="N3267" s="62"/>
    </row>
    <row r="3268" s="37" customFormat="1" ht="12.75" spans="1:14">
      <c r="G3268" s="58"/>
      <c r="H3268" s="59"/>
      <c r="I3268" s="58"/>
      <c r="K3268" s="60"/>
      <c r="N3268" s="62"/>
    </row>
    <row r="3269" s="37" customFormat="1" ht="12.75" spans="1:14">
      <c r="G3269" s="58"/>
      <c r="H3269" s="59"/>
      <c r="I3269" s="58"/>
      <c r="K3269" s="60"/>
      <c r="N3269" s="62"/>
    </row>
    <row r="3270" s="37" customFormat="1" ht="12.75" spans="1:14">
      <c r="A3270" s="54"/>
      <c r="B3270" s="54"/>
      <c r="C3270" s="54"/>
      <c r="D3270" s="54"/>
      <c r="E3270" s="54"/>
      <c r="G3270" s="58"/>
      <c r="H3270" s="66"/>
      <c r="I3270" s="58"/>
      <c r="K3270" s="60"/>
      <c r="N3270" s="62"/>
    </row>
    <row r="3271" s="54" customFormat="1" ht="12.75" spans="1:14">
      <c r="A3271" s="37"/>
      <c r="B3271" s="37"/>
      <c r="C3271" s="37"/>
      <c r="D3271" s="37"/>
      <c r="E3271" s="37"/>
      <c r="F3271" s="37"/>
      <c r="G3271" s="58"/>
      <c r="H3271" s="59"/>
      <c r="I3271" s="58"/>
      <c r="K3271" s="78"/>
      <c r="N3271" s="77"/>
    </row>
    <row r="3272" s="37" customFormat="1" ht="12.75" spans="1:14">
      <c r="G3272" s="58"/>
      <c r="H3272" s="59"/>
      <c r="I3272" s="58"/>
      <c r="K3272" s="60"/>
      <c r="N3272" s="62"/>
    </row>
    <row r="3273" s="37" customFormat="1" ht="12.75" spans="1:14">
      <c r="G3273" s="58"/>
      <c r="H3273" s="59"/>
      <c r="I3273" s="58"/>
      <c r="K3273" s="60"/>
      <c r="N3273" s="62"/>
    </row>
    <row r="3274" s="37" customFormat="1" ht="12.75" spans="1:14">
      <c r="G3274" s="58"/>
      <c r="H3274" s="59"/>
      <c r="I3274" s="58"/>
      <c r="K3274" s="60"/>
      <c r="N3274" s="62"/>
    </row>
    <row r="3275" s="37" customFormat="1" ht="12.75" spans="1:14">
      <c r="G3275" s="58"/>
      <c r="H3275" s="59"/>
      <c r="I3275" s="58"/>
      <c r="K3275" s="60"/>
      <c r="N3275" s="62"/>
    </row>
    <row r="3276" s="37" customFormat="1" ht="12.75" spans="1:14">
      <c r="G3276" s="58"/>
      <c r="H3276" s="59"/>
      <c r="I3276" s="58"/>
      <c r="K3276" s="60"/>
      <c r="N3276" s="62"/>
    </row>
    <row r="3277" s="37" customFormat="1" ht="12.75" spans="1:14">
      <c r="G3277" s="58"/>
      <c r="H3277" s="59"/>
      <c r="I3277" s="58"/>
      <c r="K3277" s="60"/>
      <c r="N3277" s="62"/>
    </row>
    <row r="3278" s="37" customFormat="1" ht="12.75" spans="1:14">
      <c r="G3278" s="58"/>
      <c r="H3278" s="59"/>
      <c r="I3278" s="58"/>
      <c r="K3278" s="60"/>
      <c r="N3278" s="62"/>
    </row>
    <row r="3279" s="37" customFormat="1" ht="12.75" spans="1:14">
      <c r="A3279" s="54"/>
      <c r="B3279" s="54"/>
      <c r="C3279" s="54"/>
      <c r="D3279" s="54"/>
      <c r="E3279" s="54"/>
      <c r="G3279" s="58"/>
      <c r="H3279" s="66"/>
      <c r="I3279" s="58"/>
      <c r="K3279" s="60"/>
      <c r="N3279" s="62"/>
    </row>
    <row r="3280" s="37" customFormat="1" ht="12.75" spans="1:14">
      <c r="G3280" s="58"/>
      <c r="H3280" s="59"/>
      <c r="I3280" s="58"/>
      <c r="K3280" s="60"/>
      <c r="N3280" s="62"/>
    </row>
    <row r="3281" s="37" customFormat="1" ht="12.75" spans="7:14">
      <c r="G3281" s="58"/>
      <c r="H3281" s="59"/>
      <c r="I3281" s="58"/>
      <c r="K3281" s="60"/>
      <c r="N3281" s="62"/>
    </row>
    <row r="3282" s="37" customFormat="1" ht="12.75" spans="7:14">
      <c r="G3282" s="58"/>
      <c r="H3282" s="59"/>
      <c r="I3282" s="58"/>
      <c r="K3282" s="60"/>
      <c r="N3282" s="62"/>
    </row>
    <row r="3283" s="37" customFormat="1" ht="12.75" spans="7:14">
      <c r="G3283" s="58"/>
      <c r="H3283" s="59"/>
      <c r="I3283" s="58"/>
      <c r="K3283" s="60"/>
      <c r="N3283" s="62"/>
    </row>
    <row r="3284" s="37" customFormat="1" ht="12.75" spans="7:14">
      <c r="G3284" s="58"/>
      <c r="H3284" s="59"/>
      <c r="I3284" s="58"/>
      <c r="K3284" s="60"/>
      <c r="N3284" s="62"/>
    </row>
    <row r="3285" s="37" customFormat="1" ht="12.75" spans="7:14">
      <c r="G3285" s="58"/>
      <c r="H3285" s="59"/>
      <c r="I3285" s="58"/>
      <c r="K3285" s="60"/>
      <c r="N3285" s="62"/>
    </row>
    <row r="3286" s="37" customFormat="1" ht="12.75" spans="7:14">
      <c r="G3286" s="58"/>
      <c r="H3286" s="59"/>
      <c r="I3286" s="58"/>
      <c r="K3286" s="60"/>
      <c r="N3286" s="62"/>
    </row>
    <row r="3287" s="37" customFormat="1" ht="12.75" spans="7:14">
      <c r="G3287" s="58"/>
      <c r="H3287" s="59"/>
      <c r="I3287" s="58"/>
      <c r="K3287" s="60"/>
      <c r="N3287" s="62"/>
    </row>
    <row r="3288" s="37" customFormat="1" ht="12.75" spans="7:14">
      <c r="G3288" s="58"/>
      <c r="H3288" s="59"/>
      <c r="I3288" s="58"/>
      <c r="K3288" s="60"/>
      <c r="N3288" s="62"/>
    </row>
    <row r="3289" s="37" customFormat="1" ht="12.75" spans="7:14">
      <c r="G3289" s="58"/>
      <c r="H3289" s="59"/>
      <c r="I3289" s="58"/>
      <c r="K3289" s="60"/>
      <c r="N3289" s="62"/>
    </row>
    <row r="3290" s="37" customFormat="1" ht="12.75" spans="7:14">
      <c r="G3290" s="58"/>
      <c r="H3290" s="59"/>
      <c r="I3290" s="58"/>
      <c r="K3290" s="60"/>
      <c r="N3290" s="62"/>
    </row>
    <row r="3291" s="37" customFormat="1" ht="12.75" spans="7:14">
      <c r="G3291" s="58"/>
      <c r="H3291" s="59"/>
      <c r="I3291" s="58"/>
      <c r="K3291" s="60"/>
      <c r="N3291" s="62"/>
    </row>
    <row r="3292" s="37" customFormat="1" ht="12.75" spans="7:14">
      <c r="G3292" s="58"/>
      <c r="H3292" s="59"/>
      <c r="I3292" s="58"/>
      <c r="K3292" s="60"/>
      <c r="N3292" s="62"/>
    </row>
    <row r="3293" s="37" customFormat="1" ht="12.75" spans="7:14">
      <c r="G3293" s="58"/>
      <c r="H3293" s="59"/>
      <c r="I3293" s="58"/>
      <c r="K3293" s="60"/>
      <c r="N3293" s="62"/>
    </row>
    <row r="3294" s="37" customFormat="1" ht="12.75" spans="7:14">
      <c r="G3294" s="58"/>
      <c r="H3294" s="59"/>
      <c r="I3294" s="58"/>
      <c r="K3294" s="60"/>
      <c r="N3294" s="62"/>
    </row>
    <row r="3295" s="37" customFormat="1" ht="12.75" spans="7:14">
      <c r="G3295" s="58"/>
      <c r="H3295" s="59"/>
      <c r="I3295" s="58"/>
      <c r="K3295" s="60"/>
      <c r="N3295" s="62"/>
    </row>
    <row r="3296" s="37" customFormat="1" ht="12.75" spans="7:14">
      <c r="G3296" s="58"/>
      <c r="H3296" s="59"/>
      <c r="I3296" s="58"/>
      <c r="K3296" s="60"/>
      <c r="N3296" s="62"/>
    </row>
    <row r="3297" s="37" customFormat="1" ht="12.75" spans="1:14">
      <c r="G3297" s="58"/>
      <c r="H3297" s="59"/>
      <c r="I3297" s="58"/>
      <c r="K3297" s="60"/>
      <c r="N3297" s="62"/>
    </row>
    <row r="3298" s="37" customFormat="1" ht="12.75" spans="1:14">
      <c r="G3298" s="58"/>
      <c r="H3298" s="59"/>
      <c r="I3298" s="58"/>
      <c r="K3298" s="60"/>
      <c r="N3298" s="62"/>
    </row>
    <row r="3299" s="37" customFormat="1" ht="12.75" spans="1:14">
      <c r="G3299" s="58"/>
      <c r="H3299" s="59"/>
      <c r="I3299" s="58"/>
      <c r="K3299" s="60"/>
      <c r="N3299" s="62"/>
    </row>
    <row r="3300" s="37" customFormat="1" ht="12.75" spans="1:14">
      <c r="G3300" s="58"/>
      <c r="H3300" s="59"/>
      <c r="I3300" s="58"/>
      <c r="K3300" s="60"/>
      <c r="N3300" s="62"/>
    </row>
    <row r="3301" s="37" customFormat="1" ht="12.75" spans="1:14">
      <c r="G3301" s="58"/>
      <c r="H3301" s="59"/>
      <c r="I3301" s="58"/>
      <c r="K3301" s="60"/>
      <c r="N3301" s="62"/>
    </row>
    <row r="3302" s="37" customFormat="1" ht="12.75" spans="1:14">
      <c r="G3302" s="58"/>
      <c r="H3302" s="59"/>
      <c r="I3302" s="58"/>
      <c r="K3302" s="60"/>
      <c r="N3302" s="62"/>
    </row>
    <row r="3303" s="37" customFormat="1" ht="12.75" spans="1:14">
      <c r="G3303" s="58"/>
      <c r="H3303" s="59"/>
      <c r="I3303" s="58"/>
      <c r="K3303" s="60"/>
      <c r="N3303" s="62"/>
    </row>
    <row r="3304" s="37" customFormat="1" ht="12.75" spans="1:14">
      <c r="G3304" s="58"/>
      <c r="H3304" s="59"/>
      <c r="I3304" s="58"/>
      <c r="K3304" s="60"/>
      <c r="N3304" s="62"/>
    </row>
    <row r="3305" s="37" customFormat="1" ht="12.75" spans="1:14">
      <c r="G3305" s="58"/>
      <c r="H3305" s="59"/>
      <c r="I3305" s="58"/>
      <c r="K3305" s="60"/>
      <c r="N3305" s="62"/>
    </row>
    <row r="3306" s="37" customFormat="1" ht="12.75" spans="1:14">
      <c r="G3306" s="58"/>
      <c r="H3306" s="59"/>
      <c r="I3306" s="58"/>
      <c r="K3306" s="60"/>
      <c r="N3306" s="62"/>
    </row>
    <row r="3307" s="37" customFormat="1" ht="12.75" spans="1:14">
      <c r="G3307" s="58"/>
      <c r="H3307" s="59"/>
      <c r="I3307" s="58"/>
      <c r="K3307" s="60"/>
      <c r="N3307" s="62"/>
    </row>
    <row r="3308" s="37" customFormat="1" ht="12.75" spans="1:14">
      <c r="G3308" s="58"/>
      <c r="H3308" s="59"/>
      <c r="I3308" s="58"/>
      <c r="K3308" s="60"/>
      <c r="N3308" s="62"/>
    </row>
    <row r="3309" s="37" customFormat="1" ht="12.75" spans="1:14">
      <c r="G3309" s="58"/>
      <c r="H3309" s="59"/>
      <c r="I3309" s="58"/>
      <c r="K3309" s="60"/>
      <c r="N3309" s="62"/>
    </row>
    <row r="3310" s="54" customFormat="1" ht="12.75" spans="1:14">
      <c r="A3310" s="37"/>
      <c r="B3310" s="37"/>
      <c r="C3310" s="37"/>
      <c r="D3310" s="37"/>
      <c r="E3310" s="37"/>
      <c r="F3310" s="37"/>
      <c r="G3310" s="58"/>
      <c r="H3310" s="59"/>
      <c r="I3310" s="58"/>
      <c r="K3310" s="78"/>
      <c r="N3310" s="77"/>
    </row>
    <row r="3311" s="37" customFormat="1" ht="12.75" spans="1:14">
      <c r="G3311" s="58"/>
      <c r="H3311" s="59"/>
      <c r="I3311" s="58"/>
      <c r="K3311" s="60"/>
      <c r="N3311" s="62"/>
    </row>
    <row r="3312" s="37" customFormat="1" ht="12.75" spans="1:14">
      <c r="G3312" s="58"/>
      <c r="H3312" s="59"/>
      <c r="I3312" s="58"/>
      <c r="K3312" s="60"/>
      <c r="N3312" s="62"/>
    </row>
    <row r="3313" s="37" customFormat="1" ht="12.75" spans="1:14">
      <c r="G3313" s="58"/>
      <c r="H3313" s="59"/>
      <c r="I3313" s="58"/>
      <c r="K3313" s="60"/>
      <c r="N3313" s="62"/>
    </row>
    <row r="3314" s="37" customFormat="1" ht="12.75" spans="1:14">
      <c r="G3314" s="58"/>
      <c r="H3314" s="59"/>
      <c r="I3314" s="58"/>
      <c r="K3314" s="60"/>
      <c r="N3314" s="62"/>
    </row>
    <row r="3315" s="37" customFormat="1" ht="12.75" spans="1:14">
      <c r="G3315" s="58"/>
      <c r="H3315" s="59"/>
      <c r="I3315" s="58"/>
      <c r="K3315" s="60"/>
      <c r="N3315" s="62"/>
    </row>
    <row r="3316" s="37" customFormat="1" ht="12.75" spans="1:14">
      <c r="G3316" s="58"/>
      <c r="H3316" s="59"/>
      <c r="I3316" s="58"/>
      <c r="K3316" s="60"/>
      <c r="N3316" s="62"/>
    </row>
    <row r="3317" s="37" customFormat="1" ht="12.75" spans="1:14">
      <c r="G3317" s="58"/>
      <c r="H3317" s="59"/>
      <c r="I3317" s="58"/>
      <c r="K3317" s="60"/>
      <c r="N3317" s="62"/>
    </row>
    <row r="3318" s="54" customFormat="1" ht="12.75" spans="1:14">
      <c r="F3318" s="37"/>
      <c r="G3318" s="58"/>
      <c r="H3318" s="66"/>
      <c r="I3318" s="58"/>
      <c r="K3318" s="78"/>
      <c r="N3318" s="77"/>
    </row>
    <row r="3319" s="37" customFormat="1" ht="12.75" spans="1:14">
      <c r="G3319" s="58"/>
      <c r="H3319" s="59"/>
      <c r="I3319" s="58"/>
      <c r="K3319" s="60"/>
      <c r="N3319" s="62"/>
    </row>
    <row r="3320" s="37" customFormat="1" ht="12.75" spans="1:14">
      <c r="G3320" s="58"/>
      <c r="H3320" s="59"/>
      <c r="I3320" s="58"/>
      <c r="K3320" s="60"/>
      <c r="N3320" s="62"/>
    </row>
    <row r="3321" s="37" customFormat="1" ht="12.75" spans="1:14">
      <c r="G3321" s="58"/>
      <c r="H3321" s="59"/>
      <c r="I3321" s="58"/>
      <c r="K3321" s="60"/>
      <c r="N3321" s="62"/>
    </row>
    <row r="3322" s="37" customFormat="1" ht="12.75" spans="1:14">
      <c r="G3322" s="58"/>
      <c r="H3322" s="59"/>
      <c r="I3322" s="58"/>
      <c r="K3322" s="60"/>
      <c r="N3322" s="62"/>
    </row>
    <row r="3323" s="37" customFormat="1" ht="12.75" spans="1:14">
      <c r="G3323" s="58"/>
      <c r="H3323" s="59"/>
      <c r="I3323" s="58"/>
      <c r="K3323" s="60"/>
      <c r="N3323" s="62"/>
    </row>
    <row r="3324" s="37" customFormat="1" ht="12.75" spans="1:14">
      <c r="G3324" s="58"/>
      <c r="H3324" s="59"/>
      <c r="I3324" s="58"/>
      <c r="K3324" s="60"/>
      <c r="N3324" s="62"/>
    </row>
    <row r="3325" s="37" customFormat="1" ht="12.75" spans="1:14">
      <c r="G3325" s="58"/>
      <c r="H3325" s="59"/>
      <c r="I3325" s="58"/>
      <c r="K3325" s="60"/>
      <c r="N3325" s="62"/>
    </row>
    <row r="3326" s="37" customFormat="1" ht="12.75" spans="1:14">
      <c r="A3326" s="54"/>
      <c r="B3326" s="54"/>
      <c r="C3326" s="54"/>
      <c r="D3326" s="54"/>
      <c r="E3326" s="54"/>
      <c r="G3326" s="58"/>
      <c r="H3326" s="66"/>
      <c r="I3326" s="58"/>
      <c r="K3326" s="60"/>
      <c r="N3326" s="62"/>
    </row>
    <row r="3327" s="37" customFormat="1" ht="12.75" spans="1:14">
      <c r="G3327" s="58"/>
      <c r="H3327" s="59"/>
      <c r="I3327" s="58"/>
      <c r="K3327" s="60"/>
      <c r="N3327" s="62"/>
    </row>
    <row r="3328" s="37" customFormat="1" ht="12.75" spans="1:14">
      <c r="G3328" s="58"/>
      <c r="H3328" s="59"/>
      <c r="I3328" s="58"/>
      <c r="K3328" s="60"/>
      <c r="N3328" s="62"/>
    </row>
    <row r="3329" s="54" customFormat="1" ht="12.75" spans="1:14">
      <c r="A3329" s="37"/>
      <c r="B3329" s="37"/>
      <c r="C3329" s="37"/>
      <c r="D3329" s="37"/>
      <c r="E3329" s="37"/>
      <c r="F3329" s="37"/>
      <c r="G3329" s="58"/>
      <c r="H3329" s="59"/>
      <c r="I3329" s="58"/>
      <c r="K3329" s="78"/>
      <c r="N3329" s="77"/>
    </row>
    <row r="3330" s="54" customFormat="1" ht="12.75" spans="1:14">
      <c r="A3330" s="37"/>
      <c r="B3330" s="37"/>
      <c r="C3330" s="37"/>
      <c r="D3330" s="37"/>
      <c r="E3330" s="37"/>
      <c r="F3330" s="37"/>
      <c r="G3330" s="58"/>
      <c r="H3330" s="59"/>
      <c r="I3330" s="58"/>
      <c r="K3330" s="78"/>
      <c r="N3330" s="77"/>
    </row>
    <row r="3331" s="54" customFormat="1" ht="12.75" spans="1:14">
      <c r="A3331" s="37"/>
      <c r="B3331" s="37"/>
      <c r="C3331" s="37"/>
      <c r="D3331" s="37"/>
      <c r="E3331" s="37"/>
      <c r="F3331" s="37"/>
      <c r="G3331" s="58"/>
      <c r="H3331" s="59"/>
      <c r="I3331" s="58"/>
      <c r="K3331" s="78"/>
      <c r="N3331" s="77"/>
    </row>
    <row r="3332" s="37" customFormat="1" ht="12.75" spans="1:14">
      <c r="G3332" s="58"/>
      <c r="H3332" s="59"/>
      <c r="I3332" s="58"/>
      <c r="K3332" s="60"/>
      <c r="N3332" s="62"/>
    </row>
    <row r="3333" s="37" customFormat="1" ht="12.75" spans="1:14">
      <c r="G3333" s="58"/>
      <c r="H3333" s="59"/>
      <c r="I3333" s="58"/>
      <c r="K3333" s="60"/>
      <c r="N3333" s="62"/>
    </row>
    <row r="3334" s="37" customFormat="1" ht="12.75" spans="1:14">
      <c r="G3334" s="58"/>
      <c r="H3334" s="59"/>
      <c r="I3334" s="58"/>
      <c r="K3334" s="60"/>
      <c r="N3334" s="62"/>
    </row>
    <row r="3335" s="37" customFormat="1" ht="12.75" spans="1:14">
      <c r="G3335" s="58"/>
      <c r="H3335" s="59"/>
      <c r="I3335" s="58"/>
      <c r="K3335" s="60"/>
      <c r="N3335" s="62"/>
    </row>
    <row r="3336" s="37" customFormat="1" ht="12.75" spans="1:14">
      <c r="G3336" s="58"/>
      <c r="H3336" s="59"/>
      <c r="I3336" s="58"/>
      <c r="K3336" s="60"/>
      <c r="N3336" s="62"/>
    </row>
    <row r="3337" s="37" customFormat="1" ht="12.75" spans="1:14">
      <c r="A3337" s="54"/>
      <c r="B3337" s="54"/>
      <c r="C3337" s="54"/>
      <c r="D3337" s="54"/>
      <c r="E3337" s="54"/>
      <c r="G3337" s="58"/>
      <c r="H3337" s="66"/>
      <c r="I3337" s="58"/>
      <c r="K3337" s="60"/>
      <c r="N3337" s="62"/>
    </row>
    <row r="3338" s="37" customFormat="1" ht="12.75" spans="1:14">
      <c r="A3338" s="54"/>
      <c r="B3338" s="54"/>
      <c r="C3338" s="54"/>
      <c r="D3338" s="54"/>
      <c r="E3338" s="54"/>
      <c r="G3338" s="58"/>
      <c r="H3338" s="66"/>
      <c r="I3338" s="58"/>
      <c r="K3338" s="60"/>
      <c r="N3338" s="62"/>
    </row>
    <row r="3339" s="37" customFormat="1" ht="12.75" spans="1:14">
      <c r="A3339" s="54"/>
      <c r="B3339" s="54"/>
      <c r="C3339" s="54"/>
      <c r="D3339" s="54"/>
      <c r="E3339" s="54"/>
      <c r="G3339" s="58"/>
      <c r="H3339" s="66"/>
      <c r="I3339" s="58"/>
      <c r="K3339" s="60"/>
      <c r="N3339" s="62"/>
    </row>
    <row r="3340" s="37" customFormat="1" ht="12.75" spans="1:14">
      <c r="G3340" s="58"/>
      <c r="H3340" s="59"/>
      <c r="I3340" s="58"/>
      <c r="K3340" s="60"/>
      <c r="N3340" s="62"/>
    </row>
    <row r="3341" s="54" customFormat="1" ht="12.75" spans="1:14">
      <c r="A3341" s="37"/>
      <c r="B3341" s="37"/>
      <c r="C3341" s="37"/>
      <c r="D3341" s="37"/>
      <c r="E3341" s="37"/>
      <c r="F3341" s="37"/>
      <c r="G3341" s="58"/>
      <c r="H3341" s="59"/>
      <c r="I3341" s="58"/>
      <c r="K3341" s="78"/>
      <c r="N3341" s="77"/>
    </row>
    <row r="3342" s="37" customFormat="1" ht="12.75" spans="1:14">
      <c r="G3342" s="58"/>
      <c r="H3342" s="59"/>
      <c r="I3342" s="58"/>
      <c r="K3342" s="60"/>
      <c r="N3342" s="62"/>
    </row>
    <row r="3343" s="37" customFormat="1" ht="12.75" spans="1:14">
      <c r="G3343" s="58"/>
      <c r="H3343" s="59"/>
      <c r="I3343" s="58"/>
      <c r="K3343" s="60"/>
      <c r="N3343" s="62"/>
    </row>
    <row r="3344" s="37" customFormat="1" ht="12.75" spans="1:14">
      <c r="G3344" s="58"/>
      <c r="H3344" s="59"/>
      <c r="I3344" s="58"/>
      <c r="K3344" s="60"/>
      <c r="N3344" s="62"/>
    </row>
    <row r="3345" s="37" customFormat="1" ht="12.75" spans="1:14">
      <c r="G3345" s="58"/>
      <c r="H3345" s="59"/>
      <c r="I3345" s="58"/>
      <c r="K3345" s="60"/>
      <c r="N3345" s="62"/>
    </row>
    <row r="3346" s="37" customFormat="1" ht="12.75" spans="1:14">
      <c r="G3346" s="58"/>
      <c r="H3346" s="59"/>
      <c r="I3346" s="58"/>
      <c r="K3346" s="60"/>
      <c r="N3346" s="62"/>
    </row>
    <row r="3347" s="37" customFormat="1" ht="12.75" spans="1:14">
      <c r="G3347" s="58"/>
      <c r="H3347" s="59"/>
      <c r="I3347" s="58"/>
      <c r="K3347" s="60"/>
      <c r="N3347" s="62"/>
    </row>
    <row r="3348" s="37" customFormat="1" ht="12.75" spans="1:14">
      <c r="G3348" s="58"/>
      <c r="H3348" s="59"/>
      <c r="I3348" s="58"/>
      <c r="K3348" s="60"/>
      <c r="N3348" s="62"/>
    </row>
    <row r="3349" s="37" customFormat="1" ht="12.75" spans="1:14">
      <c r="A3349" s="54"/>
      <c r="B3349" s="54"/>
      <c r="C3349" s="54"/>
      <c r="D3349" s="54"/>
      <c r="E3349" s="54"/>
      <c r="G3349" s="58"/>
      <c r="H3349" s="66"/>
      <c r="I3349" s="58"/>
      <c r="K3349" s="60"/>
      <c r="N3349" s="62"/>
    </row>
    <row r="3350" s="37" customFormat="1" ht="12.75" spans="1:14">
      <c r="G3350" s="58"/>
      <c r="H3350" s="59"/>
      <c r="I3350" s="58"/>
      <c r="K3350" s="60"/>
      <c r="N3350" s="62"/>
    </row>
    <row r="3351" s="37" customFormat="1" ht="12.75" spans="1:14">
      <c r="G3351" s="58"/>
      <c r="H3351" s="59"/>
      <c r="I3351" s="58"/>
      <c r="K3351" s="60"/>
      <c r="N3351" s="62"/>
    </row>
    <row r="3352" s="37" customFormat="1" ht="12.75" spans="1:14">
      <c r="G3352" s="58"/>
      <c r="H3352" s="59"/>
      <c r="I3352" s="58"/>
      <c r="K3352" s="60"/>
      <c r="N3352" s="62"/>
    </row>
    <row r="3353" s="37" customFormat="1" ht="12.75" spans="1:14">
      <c r="G3353" s="58"/>
      <c r="H3353" s="59"/>
      <c r="I3353" s="58"/>
      <c r="K3353" s="60"/>
      <c r="N3353" s="62"/>
    </row>
    <row r="3354" s="37" customFormat="1" ht="12.75" spans="1:14">
      <c r="G3354" s="58"/>
      <c r="H3354" s="59"/>
      <c r="I3354" s="58"/>
      <c r="K3354" s="60"/>
      <c r="N3354" s="62"/>
    </row>
    <row r="3355" s="37" customFormat="1" ht="12.75" spans="1:14">
      <c r="G3355" s="58"/>
      <c r="H3355" s="59"/>
      <c r="I3355" s="58"/>
      <c r="K3355" s="60"/>
      <c r="N3355" s="62"/>
    </row>
    <row r="3356" s="37" customFormat="1" ht="12.75" spans="1:14">
      <c r="G3356" s="58"/>
      <c r="H3356" s="59"/>
      <c r="I3356" s="58"/>
      <c r="K3356" s="60"/>
      <c r="N3356" s="62"/>
    </row>
    <row r="3357" s="37" customFormat="1" ht="12.75" spans="1:14">
      <c r="G3357" s="58"/>
      <c r="H3357" s="59"/>
      <c r="I3357" s="58"/>
      <c r="K3357" s="60"/>
      <c r="N3357" s="62"/>
    </row>
    <row r="3358" s="54" customFormat="1" ht="12.75" spans="1:14">
      <c r="A3358" s="37"/>
      <c r="B3358" s="37"/>
      <c r="C3358" s="37"/>
      <c r="D3358" s="37"/>
      <c r="E3358" s="37"/>
      <c r="F3358" s="37"/>
      <c r="G3358" s="58"/>
      <c r="H3358" s="59"/>
      <c r="I3358" s="58"/>
      <c r="K3358" s="78"/>
      <c r="N3358" s="77"/>
    </row>
    <row r="3359" s="37" customFormat="1" ht="12.75" spans="1:14">
      <c r="G3359" s="58"/>
      <c r="H3359" s="59"/>
      <c r="I3359" s="58"/>
      <c r="K3359" s="60"/>
      <c r="N3359" s="62"/>
    </row>
    <row r="3360" s="37" customFormat="1" ht="12.75" spans="1:14">
      <c r="G3360" s="58"/>
      <c r="H3360" s="59"/>
      <c r="I3360" s="58"/>
      <c r="K3360" s="60"/>
      <c r="N3360" s="62"/>
    </row>
    <row r="3361" s="37" customFormat="1" ht="12.75" spans="1:14">
      <c r="G3361" s="58"/>
      <c r="H3361" s="59"/>
      <c r="I3361" s="58"/>
      <c r="K3361" s="60"/>
      <c r="N3361" s="62"/>
    </row>
    <row r="3362" s="37" customFormat="1" ht="12.75" spans="1:14">
      <c r="G3362" s="58"/>
      <c r="H3362" s="59"/>
      <c r="I3362" s="58"/>
      <c r="K3362" s="60"/>
      <c r="N3362" s="62"/>
    </row>
    <row r="3363" s="37" customFormat="1" ht="12.75" spans="1:14">
      <c r="G3363" s="58"/>
      <c r="H3363" s="59"/>
      <c r="I3363" s="58"/>
      <c r="K3363" s="60"/>
      <c r="N3363" s="62"/>
    </row>
    <row r="3364" s="37" customFormat="1" ht="12.75" spans="1:14">
      <c r="G3364" s="58"/>
      <c r="H3364" s="59"/>
      <c r="I3364" s="58"/>
      <c r="K3364" s="60"/>
      <c r="N3364" s="62"/>
    </row>
    <row r="3365" s="37" customFormat="1" ht="12.75" spans="1:14">
      <c r="G3365" s="58"/>
      <c r="H3365" s="59"/>
      <c r="I3365" s="58"/>
      <c r="K3365" s="60"/>
      <c r="N3365" s="62"/>
    </row>
    <row r="3366" s="37" customFormat="1" ht="12.75" spans="1:14">
      <c r="A3366" s="54"/>
      <c r="B3366" s="54"/>
      <c r="C3366" s="54"/>
      <c r="D3366" s="54"/>
      <c r="E3366" s="54"/>
      <c r="G3366" s="58"/>
      <c r="H3366" s="66"/>
      <c r="I3366" s="58"/>
      <c r="K3366" s="60"/>
      <c r="N3366" s="62"/>
    </row>
    <row r="3367" s="54" customFormat="1" ht="12.75" spans="1:14">
      <c r="A3367" s="37"/>
      <c r="B3367" s="37"/>
      <c r="C3367" s="37"/>
      <c r="D3367" s="37"/>
      <c r="E3367" s="37"/>
      <c r="F3367" s="37"/>
      <c r="G3367" s="58"/>
      <c r="H3367" s="59"/>
      <c r="I3367" s="58"/>
      <c r="K3367" s="78"/>
      <c r="N3367" s="77"/>
    </row>
    <row r="3368" s="37" customFormat="1" ht="12.75" spans="1:14">
      <c r="G3368" s="58"/>
      <c r="H3368" s="59"/>
      <c r="I3368" s="58"/>
      <c r="K3368" s="60"/>
      <c r="N3368" s="62"/>
    </row>
    <row r="3369" s="37" customFormat="1" ht="12.75" spans="1:14">
      <c r="G3369" s="58"/>
      <c r="H3369" s="59"/>
      <c r="I3369" s="58"/>
      <c r="K3369" s="60"/>
      <c r="N3369" s="62"/>
    </row>
    <row r="3370" s="37" customFormat="1" ht="12.75" spans="1:14">
      <c r="G3370" s="58"/>
      <c r="H3370" s="59"/>
      <c r="I3370" s="58"/>
      <c r="K3370" s="60"/>
      <c r="N3370" s="62"/>
    </row>
    <row r="3371" s="37" customFormat="1" ht="12.75" spans="1:14">
      <c r="G3371" s="58"/>
      <c r="H3371" s="59"/>
      <c r="I3371" s="58"/>
      <c r="K3371" s="60"/>
      <c r="N3371" s="62"/>
    </row>
    <row r="3372" s="37" customFormat="1" ht="12.75" spans="1:14">
      <c r="G3372" s="58"/>
      <c r="H3372" s="59"/>
      <c r="I3372" s="58"/>
      <c r="K3372" s="60"/>
      <c r="N3372" s="62"/>
    </row>
    <row r="3373" s="37" customFormat="1" ht="12.75" spans="1:14">
      <c r="G3373" s="58"/>
      <c r="H3373" s="59"/>
      <c r="I3373" s="58"/>
      <c r="K3373" s="60"/>
      <c r="N3373" s="62"/>
    </row>
    <row r="3374" s="37" customFormat="1" ht="12.75" spans="1:14">
      <c r="G3374" s="58"/>
      <c r="H3374" s="59"/>
      <c r="I3374" s="58"/>
      <c r="K3374" s="60"/>
      <c r="N3374" s="62"/>
    </row>
    <row r="3375" s="37" customFormat="1" ht="12.75" spans="1:14">
      <c r="A3375" s="54"/>
      <c r="B3375" s="54"/>
      <c r="C3375" s="54"/>
      <c r="D3375" s="54"/>
      <c r="E3375" s="54"/>
      <c r="G3375" s="58"/>
      <c r="H3375" s="66"/>
      <c r="I3375" s="58"/>
      <c r="K3375" s="60"/>
      <c r="N3375" s="62"/>
    </row>
    <row r="3376" s="37" customFormat="1" ht="12.75" spans="1:14">
      <c r="G3376" s="58"/>
      <c r="H3376" s="59"/>
      <c r="I3376" s="58"/>
      <c r="K3376" s="60"/>
      <c r="N3376" s="62"/>
    </row>
    <row r="3377" s="37" customFormat="1" ht="12.75" spans="1:14">
      <c r="G3377" s="58"/>
      <c r="H3377" s="59"/>
      <c r="I3377" s="58"/>
      <c r="K3377" s="60"/>
      <c r="N3377" s="62"/>
    </row>
    <row r="3378" s="37" customFormat="1" ht="12.75" spans="1:14">
      <c r="G3378" s="58"/>
      <c r="H3378" s="59"/>
      <c r="I3378" s="58"/>
      <c r="K3378" s="60"/>
      <c r="N3378" s="62"/>
    </row>
    <row r="3379" s="37" customFormat="1" ht="12.75" spans="1:14">
      <c r="G3379" s="58"/>
      <c r="H3379" s="59"/>
      <c r="I3379" s="58"/>
      <c r="K3379" s="60"/>
      <c r="N3379" s="62"/>
    </row>
    <row r="3380" s="37" customFormat="1" ht="12.75" spans="1:14">
      <c r="G3380" s="58"/>
      <c r="H3380" s="59"/>
      <c r="I3380" s="58"/>
      <c r="K3380" s="60"/>
      <c r="N3380" s="62"/>
    </row>
    <row r="3381" s="37" customFormat="1" ht="12.75" spans="1:14">
      <c r="G3381" s="58"/>
      <c r="H3381" s="59"/>
      <c r="I3381" s="58"/>
      <c r="K3381" s="60"/>
      <c r="N3381" s="62"/>
    </row>
    <row r="3382" s="37" customFormat="1" ht="12.75" spans="1:14">
      <c r="G3382" s="58"/>
      <c r="H3382" s="59"/>
      <c r="I3382" s="58"/>
      <c r="K3382" s="60"/>
      <c r="N3382" s="62"/>
    </row>
    <row r="3383" s="37" customFormat="1" ht="12.75" spans="1:14">
      <c r="G3383" s="58"/>
      <c r="H3383" s="59"/>
      <c r="I3383" s="58"/>
      <c r="K3383" s="60"/>
      <c r="N3383" s="62"/>
    </row>
    <row r="3384" s="37" customFormat="1" ht="12.75" spans="1:14">
      <c r="G3384" s="58"/>
      <c r="H3384" s="59"/>
      <c r="I3384" s="58"/>
      <c r="K3384" s="60"/>
      <c r="N3384" s="62"/>
    </row>
    <row r="3385" s="54" customFormat="1" ht="12.75" spans="1:14">
      <c r="A3385" s="37"/>
      <c r="B3385" s="37"/>
      <c r="C3385" s="37"/>
      <c r="D3385" s="37"/>
      <c r="E3385" s="37"/>
      <c r="F3385" s="37"/>
      <c r="G3385" s="58"/>
      <c r="H3385" s="59"/>
      <c r="I3385" s="58"/>
      <c r="K3385" s="78"/>
      <c r="N3385" s="77"/>
    </row>
    <row r="3386" s="37" customFormat="1" ht="12.75" spans="1:14">
      <c r="G3386" s="58"/>
      <c r="H3386" s="59"/>
      <c r="I3386" s="58"/>
      <c r="K3386" s="60"/>
      <c r="N3386" s="62"/>
    </row>
    <row r="3387" s="37" customFormat="1" ht="12.75" spans="1:14">
      <c r="G3387" s="58"/>
      <c r="H3387" s="59"/>
      <c r="I3387" s="58"/>
      <c r="K3387" s="60"/>
      <c r="N3387" s="62"/>
    </row>
    <row r="3388" s="37" customFormat="1" ht="12.75" spans="1:14">
      <c r="G3388" s="58"/>
      <c r="H3388" s="59"/>
      <c r="I3388" s="58"/>
      <c r="K3388" s="60"/>
      <c r="N3388" s="62"/>
    </row>
    <row r="3389" s="37" customFormat="1" ht="12.75" spans="1:14">
      <c r="G3389" s="58"/>
      <c r="H3389" s="59"/>
      <c r="I3389" s="58"/>
      <c r="K3389" s="60"/>
      <c r="N3389" s="62"/>
    </row>
    <row r="3390" s="37" customFormat="1" ht="12.75" spans="1:14">
      <c r="G3390" s="58"/>
      <c r="H3390" s="59"/>
      <c r="I3390" s="58"/>
      <c r="K3390" s="60"/>
      <c r="N3390" s="62"/>
    </row>
    <row r="3391" s="37" customFormat="1" ht="12.75" spans="1:14">
      <c r="G3391" s="58"/>
      <c r="H3391" s="59"/>
      <c r="I3391" s="58"/>
      <c r="K3391" s="60"/>
      <c r="N3391" s="62"/>
    </row>
    <row r="3392" s="37" customFormat="1" ht="12.75" spans="1:14">
      <c r="G3392" s="58"/>
      <c r="H3392" s="59"/>
      <c r="I3392" s="58"/>
      <c r="K3392" s="60"/>
      <c r="N3392" s="62"/>
    </row>
    <row r="3393" s="37" customFormat="1" ht="12.75" spans="1:14">
      <c r="A3393" s="54"/>
      <c r="B3393" s="54"/>
      <c r="C3393" s="54"/>
      <c r="D3393" s="54"/>
      <c r="E3393" s="54"/>
      <c r="G3393" s="58"/>
      <c r="H3393" s="66"/>
      <c r="I3393" s="58"/>
      <c r="K3393" s="60"/>
      <c r="N3393" s="62"/>
    </row>
    <row r="3394" s="37" customFormat="1" ht="12.75" spans="1:14">
      <c r="G3394" s="58"/>
      <c r="H3394" s="59"/>
      <c r="I3394" s="58"/>
      <c r="K3394" s="60"/>
      <c r="N3394" s="62"/>
    </row>
    <row r="3395" s="37" customFormat="1" ht="12.75" spans="1:14">
      <c r="G3395" s="58"/>
      <c r="H3395" s="59"/>
      <c r="I3395" s="58"/>
      <c r="K3395" s="60"/>
    </row>
    <row r="3396" s="37" customFormat="1" ht="12.75" spans="1:14">
      <c r="G3396" s="58"/>
      <c r="H3396" s="59"/>
      <c r="I3396" s="58"/>
      <c r="K3396" s="60"/>
    </row>
    <row r="3397" s="37" customFormat="1" ht="12.75" spans="1:14">
      <c r="G3397" s="58"/>
      <c r="H3397" s="59"/>
      <c r="I3397" s="58"/>
      <c r="K3397" s="60"/>
    </row>
    <row r="3398" s="37" customFormat="1" ht="12.75" spans="1:14">
      <c r="G3398" s="58"/>
      <c r="H3398" s="59"/>
      <c r="I3398" s="58"/>
      <c r="K3398" s="60"/>
    </row>
    <row r="3399" s="37" customFormat="1" ht="12.75" spans="1:14">
      <c r="G3399" s="58"/>
      <c r="H3399" s="59"/>
      <c r="I3399" s="58"/>
      <c r="K3399" s="60"/>
    </row>
    <row r="3400" s="37" customFormat="1" ht="12.75" spans="1:14">
      <c r="G3400" s="58"/>
      <c r="H3400" s="59"/>
      <c r="I3400" s="58"/>
      <c r="K3400" s="60"/>
    </row>
    <row r="3401" s="37" customFormat="1" ht="12.75" spans="1:14">
      <c r="G3401" s="58"/>
      <c r="H3401" s="59"/>
      <c r="I3401" s="58"/>
      <c r="K3401" s="60"/>
    </row>
    <row r="3402" s="37" customFormat="1" ht="12.75" spans="1:14">
      <c r="G3402" s="58"/>
      <c r="H3402" s="59"/>
      <c r="I3402" s="58"/>
      <c r="K3402" s="60"/>
    </row>
    <row r="3403" s="37" customFormat="1" ht="12.75" spans="1:14">
      <c r="G3403" s="58"/>
      <c r="H3403" s="59"/>
      <c r="I3403" s="58"/>
      <c r="K3403" s="60"/>
    </row>
    <row r="3404" s="37" customFormat="1" ht="12.75" spans="1:14">
      <c r="G3404" s="58"/>
      <c r="H3404" s="59"/>
      <c r="I3404" s="58"/>
      <c r="K3404" s="60"/>
    </row>
    <row r="3405" s="37" customFormat="1" ht="12.75" spans="1:14">
      <c r="G3405" s="58"/>
      <c r="H3405" s="59"/>
      <c r="I3405" s="58"/>
      <c r="J3405" s="67"/>
      <c r="K3405" s="68"/>
      <c r="L3405" s="67"/>
    </row>
    <row r="3406" s="37" customFormat="1" ht="12.75" spans="1:14">
      <c r="G3406" s="58"/>
      <c r="H3406" s="59"/>
      <c r="I3406" s="58"/>
      <c r="J3406" s="67"/>
      <c r="K3406" s="68"/>
      <c r="L3406" s="67"/>
    </row>
    <row r="3407" s="37" customFormat="1" ht="12.75" spans="1:14">
      <c r="G3407" s="58"/>
      <c r="H3407" s="59"/>
      <c r="I3407" s="58"/>
      <c r="J3407" s="67"/>
      <c r="K3407" s="68"/>
      <c r="L3407" s="67"/>
    </row>
    <row r="3408" s="37" customFormat="1" ht="12.75" spans="1:14">
      <c r="G3408" s="58"/>
      <c r="H3408" s="59"/>
      <c r="I3408" s="58"/>
      <c r="J3408" s="67"/>
      <c r="K3408" s="68"/>
      <c r="L3408" s="67"/>
    </row>
    <row r="3409" s="37" customFormat="1" ht="12.75" spans="1:14">
      <c r="G3409" s="58"/>
      <c r="H3409" s="59"/>
      <c r="I3409" s="58"/>
      <c r="J3409" s="67"/>
      <c r="K3409" s="68"/>
      <c r="L3409" s="67"/>
    </row>
    <row r="3410" s="54" customFormat="1" ht="12.75" spans="1:14">
      <c r="A3410" s="37"/>
      <c r="B3410" s="37"/>
      <c r="C3410" s="37"/>
      <c r="D3410" s="37"/>
      <c r="E3410" s="37"/>
      <c r="F3410" s="37"/>
      <c r="G3410" s="58"/>
      <c r="H3410" s="59"/>
      <c r="I3410" s="58"/>
      <c r="J3410" s="69"/>
      <c r="K3410" s="70"/>
      <c r="L3410" s="69"/>
    </row>
    <row r="3411" s="54" customFormat="1" ht="12.75" spans="1:14">
      <c r="A3411" s="37"/>
      <c r="B3411" s="37"/>
      <c r="C3411" s="37"/>
      <c r="D3411" s="37"/>
      <c r="E3411" s="37"/>
      <c r="F3411" s="37"/>
      <c r="G3411" s="58"/>
      <c r="H3411" s="59"/>
      <c r="I3411" s="58"/>
      <c r="J3411" s="69"/>
      <c r="K3411" s="70"/>
      <c r="L3411" s="69"/>
    </row>
    <row r="3412" s="54" customFormat="1" ht="12.75" spans="1:14">
      <c r="A3412" s="37"/>
      <c r="B3412" s="37"/>
      <c r="C3412" s="37"/>
      <c r="D3412" s="37"/>
      <c r="E3412" s="37"/>
      <c r="F3412" s="37"/>
      <c r="G3412" s="58"/>
      <c r="H3412" s="59"/>
      <c r="I3412" s="58"/>
      <c r="J3412" s="69"/>
      <c r="K3412" s="70"/>
      <c r="L3412" s="69"/>
    </row>
    <row r="3413" s="37" customFormat="1" ht="12.75" spans="1:14">
      <c r="G3413" s="58"/>
      <c r="H3413" s="59"/>
      <c r="I3413" s="58"/>
      <c r="K3413" s="60"/>
      <c r="N3413" s="62"/>
    </row>
    <row r="3414" s="37" customFormat="1" ht="12.75" spans="1:14">
      <c r="G3414" s="58"/>
      <c r="H3414" s="59"/>
      <c r="I3414" s="58"/>
      <c r="K3414" s="60"/>
      <c r="N3414" s="62"/>
    </row>
    <row r="3415" s="37" customFormat="1" ht="12.75" spans="1:14">
      <c r="G3415" s="58"/>
      <c r="H3415" s="59"/>
      <c r="I3415" s="58"/>
      <c r="K3415" s="60"/>
      <c r="N3415" s="62"/>
    </row>
    <row r="3416" s="37" customFormat="1" ht="12.75" spans="1:14">
      <c r="G3416" s="58"/>
      <c r="H3416" s="59"/>
      <c r="I3416" s="58"/>
      <c r="K3416" s="60"/>
      <c r="N3416" s="62"/>
    </row>
    <row r="3417" s="37" customFormat="1" ht="12.75" spans="1:14">
      <c r="G3417" s="58"/>
      <c r="H3417" s="59"/>
      <c r="I3417" s="58"/>
      <c r="K3417" s="60"/>
      <c r="N3417" s="62"/>
    </row>
    <row r="3418" s="37" customFormat="1" ht="12.75" spans="1:14">
      <c r="G3418" s="58"/>
      <c r="H3418" s="59"/>
      <c r="I3418" s="58"/>
      <c r="K3418" s="60"/>
      <c r="N3418" s="62"/>
    </row>
    <row r="3419" s="37" customFormat="1" ht="12.75" spans="1:14">
      <c r="G3419" s="58"/>
      <c r="H3419" s="59"/>
      <c r="I3419" s="58"/>
      <c r="K3419" s="60"/>
      <c r="N3419" s="62"/>
    </row>
    <row r="3420" s="37" customFormat="1" ht="12.75" spans="1:14">
      <c r="G3420" s="58"/>
      <c r="H3420" s="59"/>
      <c r="I3420" s="58"/>
      <c r="K3420" s="60"/>
      <c r="N3420" s="62"/>
    </row>
    <row r="3421" s="54" customFormat="1" ht="12.75" spans="1:14">
      <c r="F3421" s="37"/>
      <c r="G3421" s="58"/>
      <c r="H3421" s="59"/>
      <c r="I3421" s="58"/>
      <c r="K3421" s="78"/>
      <c r="N3421" s="77"/>
    </row>
    <row r="3422" s="37" customFormat="1" ht="12.75" spans="1:14">
      <c r="G3422" s="58"/>
      <c r="H3422" s="59"/>
      <c r="I3422" s="58"/>
      <c r="K3422" s="60"/>
      <c r="N3422" s="62"/>
    </row>
    <row r="3423" s="37" customFormat="1" ht="12.75" spans="1:14">
      <c r="G3423" s="58"/>
      <c r="H3423" s="59"/>
      <c r="I3423" s="58"/>
      <c r="K3423" s="60"/>
      <c r="N3423" s="62"/>
    </row>
    <row r="3424" s="37" customFormat="1" ht="12.75" spans="1:14">
      <c r="G3424" s="58"/>
      <c r="H3424" s="59"/>
      <c r="I3424" s="58"/>
      <c r="K3424" s="60"/>
      <c r="N3424" s="62"/>
    </row>
    <row r="3425" s="37" customFormat="1" ht="12.75" spans="6:14">
      <c r="G3425" s="58"/>
      <c r="H3425" s="59"/>
      <c r="I3425" s="58"/>
      <c r="K3425" s="60"/>
      <c r="N3425" s="62"/>
    </row>
    <row r="3426" s="37" customFormat="1" ht="12.75" spans="6:14">
      <c r="G3426" s="58"/>
      <c r="H3426" s="59"/>
      <c r="I3426" s="58"/>
      <c r="K3426" s="60"/>
      <c r="N3426" s="62"/>
    </row>
    <row r="3427" s="37" customFormat="1" ht="12.75" spans="6:14">
      <c r="G3427" s="58"/>
      <c r="H3427" s="59"/>
      <c r="I3427" s="58"/>
      <c r="K3427" s="60"/>
      <c r="N3427" s="62"/>
    </row>
    <row r="3428" s="37" customFormat="1" ht="12.75" spans="6:14">
      <c r="G3428" s="58"/>
      <c r="H3428" s="59"/>
      <c r="I3428" s="58"/>
      <c r="K3428" s="60"/>
      <c r="N3428" s="62"/>
    </row>
    <row r="3429" s="37" customFormat="1" ht="12.75" spans="6:14">
      <c r="G3429" s="58"/>
      <c r="H3429" s="59"/>
      <c r="I3429" s="58"/>
      <c r="K3429" s="60"/>
      <c r="N3429" s="62"/>
    </row>
    <row r="3430" s="54" customFormat="1" ht="12.75" spans="6:14">
      <c r="F3430" s="37"/>
      <c r="G3430" s="58"/>
      <c r="H3430" s="59"/>
      <c r="I3430" s="58"/>
      <c r="K3430" s="78"/>
      <c r="N3430" s="77"/>
    </row>
    <row r="3431" s="37" customFormat="1" ht="12.75" spans="6:14">
      <c r="G3431" s="58"/>
      <c r="H3431" s="59"/>
      <c r="I3431" s="58"/>
      <c r="K3431" s="60"/>
      <c r="N3431" s="62"/>
    </row>
    <row r="3432" s="37" customFormat="1" ht="12.75" spans="6:14">
      <c r="G3432" s="58"/>
      <c r="H3432" s="59"/>
      <c r="I3432" s="58"/>
      <c r="K3432" s="60"/>
      <c r="N3432" s="62"/>
    </row>
    <row r="3433" s="37" customFormat="1" ht="12.75" spans="6:14">
      <c r="G3433" s="58"/>
      <c r="H3433" s="59"/>
      <c r="I3433" s="58"/>
      <c r="K3433" s="60"/>
      <c r="N3433" s="62"/>
    </row>
    <row r="3434" s="37" customFormat="1" ht="12.75" spans="6:14">
      <c r="G3434" s="58"/>
      <c r="H3434" s="59"/>
      <c r="I3434" s="58"/>
      <c r="K3434" s="60"/>
      <c r="N3434" s="62"/>
    </row>
    <row r="3435" s="37" customFormat="1" ht="12.75" spans="6:14">
      <c r="G3435" s="58"/>
      <c r="H3435" s="59"/>
      <c r="I3435" s="58"/>
      <c r="K3435" s="60"/>
      <c r="N3435" s="62"/>
    </row>
    <row r="3436" s="37" customFormat="1" ht="12.75" spans="6:14">
      <c r="G3436" s="58"/>
      <c r="H3436" s="59"/>
      <c r="I3436" s="58"/>
      <c r="K3436" s="60"/>
      <c r="N3436" s="62"/>
    </row>
    <row r="3437" s="37" customFormat="1" ht="12.75" spans="6:14">
      <c r="G3437" s="58"/>
      <c r="H3437" s="59"/>
      <c r="I3437" s="58"/>
      <c r="K3437" s="60"/>
      <c r="N3437" s="62"/>
    </row>
    <row r="3438" s="37" customFormat="1" ht="12.75" spans="6:14">
      <c r="G3438" s="58"/>
      <c r="H3438" s="59"/>
      <c r="I3438" s="58"/>
      <c r="K3438" s="60"/>
      <c r="N3438" s="62"/>
    </row>
    <row r="3439" s="37" customFormat="1" ht="12.75" spans="6:14">
      <c r="G3439" s="58"/>
      <c r="H3439" s="59"/>
      <c r="I3439" s="58"/>
      <c r="K3439" s="60"/>
      <c r="N3439" s="62"/>
    </row>
    <row r="3440" s="37" customFormat="1" ht="12.75" spans="6:14">
      <c r="G3440" s="58"/>
      <c r="H3440" s="59"/>
      <c r="I3440" s="58"/>
      <c r="K3440" s="60"/>
      <c r="N3440" s="62"/>
    </row>
    <row r="3441" s="37" customFormat="1" ht="12.75" spans="7:14">
      <c r="G3441" s="58"/>
      <c r="H3441" s="59"/>
      <c r="I3441" s="58"/>
      <c r="K3441" s="60"/>
      <c r="N3441" s="62"/>
    </row>
    <row r="3442" s="37" customFormat="1" ht="12.75" spans="7:14">
      <c r="G3442" s="58"/>
      <c r="H3442" s="59"/>
      <c r="I3442" s="58"/>
      <c r="K3442" s="60"/>
      <c r="N3442" s="62"/>
    </row>
    <row r="3443" s="37" customFormat="1" ht="12.75" spans="7:14">
      <c r="G3443" s="58"/>
      <c r="H3443" s="59"/>
      <c r="I3443" s="58"/>
      <c r="K3443" s="60"/>
      <c r="N3443" s="62"/>
    </row>
    <row r="3444" s="37" customFormat="1" ht="12.75" spans="7:14">
      <c r="G3444" s="58"/>
      <c r="H3444" s="59"/>
      <c r="I3444" s="58"/>
      <c r="K3444" s="60"/>
      <c r="N3444" s="62"/>
    </row>
    <row r="3445" s="37" customFormat="1" ht="12.75" spans="7:14">
      <c r="G3445" s="58"/>
      <c r="H3445" s="59"/>
      <c r="I3445" s="58"/>
      <c r="K3445" s="60"/>
      <c r="N3445" s="62"/>
    </row>
    <row r="3446" s="37" customFormat="1" ht="12.75" spans="7:14">
      <c r="G3446" s="58"/>
      <c r="H3446" s="59"/>
      <c r="I3446" s="58"/>
      <c r="K3446" s="60"/>
      <c r="N3446" s="62"/>
    </row>
    <row r="3447" s="37" customFormat="1" ht="12.75" spans="7:14">
      <c r="G3447" s="58"/>
      <c r="H3447" s="59"/>
      <c r="I3447" s="58"/>
      <c r="K3447" s="60"/>
      <c r="N3447" s="62"/>
    </row>
    <row r="3448" s="37" customFormat="1" ht="12.75" spans="7:14">
      <c r="G3448" s="58"/>
      <c r="H3448" s="59"/>
      <c r="I3448" s="58"/>
      <c r="K3448" s="60"/>
      <c r="N3448" s="62"/>
    </row>
    <row r="3449" s="37" customFormat="1" ht="12.75" spans="7:14">
      <c r="G3449" s="58"/>
      <c r="H3449" s="59"/>
      <c r="I3449" s="58"/>
      <c r="K3449" s="60"/>
      <c r="N3449" s="62"/>
    </row>
    <row r="3450" s="37" customFormat="1" ht="12.75" spans="7:14">
      <c r="G3450" s="58"/>
      <c r="H3450" s="59"/>
      <c r="I3450" s="58"/>
      <c r="K3450" s="60"/>
      <c r="N3450" s="62"/>
    </row>
    <row r="3451" s="37" customFormat="1" ht="12.75" spans="7:14">
      <c r="G3451" s="58"/>
      <c r="H3451" s="59"/>
      <c r="I3451" s="58"/>
      <c r="K3451" s="60"/>
      <c r="N3451" s="62"/>
    </row>
    <row r="3452" s="37" customFormat="1" ht="12.75" spans="7:14">
      <c r="G3452" s="58"/>
      <c r="H3452" s="59"/>
      <c r="I3452" s="58"/>
      <c r="K3452" s="60"/>
      <c r="N3452" s="62"/>
    </row>
    <row r="3453" s="37" customFormat="1" ht="12.75" spans="7:14">
      <c r="G3453" s="58"/>
      <c r="H3453" s="59"/>
      <c r="I3453" s="58"/>
      <c r="K3453" s="60"/>
      <c r="N3453" s="62"/>
    </row>
    <row r="3454" s="37" customFormat="1" ht="12.75" spans="7:14">
      <c r="G3454" s="58"/>
      <c r="H3454" s="59"/>
      <c r="I3454" s="58"/>
      <c r="K3454" s="60"/>
      <c r="N3454" s="62"/>
    </row>
    <row r="3455" s="37" customFormat="1" ht="12.75" spans="7:14">
      <c r="G3455" s="58"/>
      <c r="H3455" s="59"/>
      <c r="I3455" s="58"/>
      <c r="K3455" s="60"/>
      <c r="N3455" s="62"/>
    </row>
    <row r="3456" s="37" customFormat="1" ht="12.75" spans="7:14">
      <c r="G3456" s="58"/>
      <c r="H3456" s="59"/>
      <c r="I3456" s="58"/>
      <c r="K3456" s="60"/>
      <c r="N3456" s="62"/>
    </row>
    <row r="3457" s="37" customFormat="1" ht="12.75" spans="6:14">
      <c r="G3457" s="58"/>
      <c r="H3457" s="59"/>
      <c r="I3457" s="58"/>
      <c r="K3457" s="60"/>
      <c r="N3457" s="62"/>
    </row>
    <row r="3458" s="37" customFormat="1" ht="12.75" spans="6:14">
      <c r="G3458" s="58"/>
      <c r="H3458" s="59"/>
      <c r="I3458" s="58"/>
      <c r="K3458" s="60"/>
      <c r="N3458" s="62"/>
    </row>
    <row r="3459" s="37" customFormat="1" ht="12.75" spans="6:14">
      <c r="G3459" s="58"/>
      <c r="H3459" s="59"/>
      <c r="I3459" s="58"/>
      <c r="K3459" s="60"/>
      <c r="N3459" s="62"/>
    </row>
    <row r="3460" s="37" customFormat="1" ht="12.75" spans="6:14">
      <c r="G3460" s="58"/>
      <c r="H3460" s="59"/>
      <c r="I3460" s="58"/>
      <c r="K3460" s="60"/>
      <c r="N3460" s="62"/>
    </row>
    <row r="3461" s="37" customFormat="1" ht="12.75" spans="6:14">
      <c r="G3461" s="58"/>
      <c r="H3461" s="59"/>
      <c r="I3461" s="58"/>
      <c r="K3461" s="60"/>
      <c r="N3461" s="62"/>
    </row>
    <row r="3462" s="37" customFormat="1" ht="12.75" spans="6:14">
      <c r="G3462" s="58"/>
      <c r="H3462" s="59"/>
      <c r="I3462" s="58"/>
      <c r="K3462" s="60"/>
      <c r="N3462" s="62"/>
    </row>
    <row r="3463" s="37" customFormat="1" ht="12.75" spans="6:14">
      <c r="G3463" s="58"/>
      <c r="H3463" s="59"/>
      <c r="I3463" s="58"/>
      <c r="K3463" s="60"/>
      <c r="N3463" s="62"/>
    </row>
    <row r="3464" s="37" customFormat="1" ht="12.75" spans="6:14">
      <c r="G3464" s="58"/>
      <c r="H3464" s="59"/>
      <c r="I3464" s="58"/>
      <c r="K3464" s="60"/>
      <c r="N3464" s="62"/>
    </row>
    <row r="3465" s="37" customFormat="1" ht="12.75" spans="6:14">
      <c r="G3465" s="58"/>
      <c r="H3465" s="59"/>
      <c r="I3465" s="58"/>
      <c r="K3465" s="60"/>
      <c r="N3465" s="62"/>
    </row>
    <row r="3466" s="37" customFormat="1" ht="12.75" spans="6:14">
      <c r="G3466" s="58"/>
      <c r="H3466" s="59"/>
      <c r="I3466" s="58"/>
      <c r="K3466" s="60"/>
      <c r="N3466" s="62"/>
    </row>
    <row r="3467" s="37" customFormat="1" ht="12.75" spans="6:14">
      <c r="G3467" s="58"/>
      <c r="H3467" s="59"/>
      <c r="I3467" s="58"/>
      <c r="K3467" s="60"/>
      <c r="N3467" s="62"/>
    </row>
    <row r="3468" s="37" customFormat="1" ht="12.75" spans="6:14">
      <c r="G3468" s="58"/>
      <c r="H3468" s="59"/>
      <c r="I3468" s="58"/>
      <c r="K3468" s="60"/>
      <c r="N3468" s="62"/>
    </row>
    <row r="3469" s="54" customFormat="1" ht="12.75" spans="6:14">
      <c r="F3469" s="37"/>
      <c r="G3469" s="58"/>
      <c r="H3469" s="59"/>
      <c r="I3469" s="58"/>
      <c r="K3469" s="78"/>
      <c r="N3469" s="77"/>
    </row>
    <row r="3470" s="37" customFormat="1" ht="12.75" spans="6:14">
      <c r="G3470" s="58"/>
      <c r="H3470" s="59"/>
      <c r="I3470" s="58"/>
      <c r="K3470" s="60"/>
      <c r="N3470" s="62"/>
    </row>
    <row r="3471" s="37" customFormat="1" ht="12.75" spans="6:14">
      <c r="G3471" s="58"/>
      <c r="H3471" s="59"/>
      <c r="I3471" s="58"/>
      <c r="K3471" s="60"/>
      <c r="N3471" s="62"/>
    </row>
    <row r="3472" s="37" customFormat="1" ht="12.75" spans="6:14">
      <c r="G3472" s="58"/>
      <c r="H3472" s="59"/>
      <c r="I3472" s="58"/>
      <c r="K3472" s="60"/>
      <c r="N3472" s="62"/>
    </row>
    <row r="3473" s="37" customFormat="1" ht="12.75" spans="6:14">
      <c r="G3473" s="58"/>
      <c r="H3473" s="59"/>
      <c r="I3473" s="58"/>
      <c r="K3473" s="60"/>
      <c r="N3473" s="62"/>
    </row>
    <row r="3474" s="37" customFormat="1" ht="12.75" spans="6:14">
      <c r="G3474" s="58"/>
      <c r="H3474" s="59"/>
      <c r="I3474" s="58"/>
      <c r="K3474" s="60"/>
      <c r="N3474" s="62"/>
    </row>
    <row r="3475" s="37" customFormat="1" ht="12.75" spans="6:14">
      <c r="G3475" s="58"/>
      <c r="H3475" s="59"/>
      <c r="I3475" s="58"/>
      <c r="K3475" s="60"/>
      <c r="N3475" s="62"/>
    </row>
    <row r="3476" s="37" customFormat="1" ht="12.75" spans="6:14">
      <c r="G3476" s="58"/>
      <c r="H3476" s="59"/>
      <c r="I3476" s="58"/>
      <c r="K3476" s="60"/>
      <c r="N3476" s="62"/>
    </row>
    <row r="3477" s="37" customFormat="1" ht="12.75" spans="6:14">
      <c r="G3477" s="58"/>
      <c r="H3477" s="59"/>
      <c r="I3477" s="58"/>
      <c r="K3477" s="60"/>
      <c r="N3477" s="62"/>
    </row>
    <row r="3478" s="54" customFormat="1" ht="12.75" spans="6:14">
      <c r="F3478" s="37"/>
      <c r="G3478" s="58"/>
      <c r="H3478" s="59"/>
      <c r="I3478" s="58"/>
      <c r="K3478" s="78"/>
      <c r="N3478" s="77"/>
    </row>
    <row r="3479" s="54" customFormat="1" ht="12.75" spans="6:14">
      <c r="F3479" s="37"/>
      <c r="G3479" s="58"/>
      <c r="H3479" s="59"/>
      <c r="I3479" s="58"/>
      <c r="K3479" s="78"/>
      <c r="N3479" s="77"/>
    </row>
    <row r="3480" s="54" customFormat="1" ht="12.75" spans="6:14">
      <c r="F3480" s="37"/>
      <c r="G3480" s="58"/>
      <c r="H3480" s="59"/>
      <c r="I3480" s="58"/>
      <c r="K3480" s="78"/>
      <c r="N3480" s="77"/>
    </row>
    <row r="3481" s="37" customFormat="1" ht="12.75" spans="6:14">
      <c r="G3481" s="58"/>
      <c r="H3481" s="59"/>
      <c r="I3481" s="58"/>
      <c r="K3481" s="60"/>
      <c r="N3481" s="62"/>
    </row>
    <row r="3482" s="37" customFormat="1" ht="12.75" spans="6:14">
      <c r="G3482" s="58"/>
      <c r="H3482" s="59"/>
      <c r="I3482" s="58"/>
      <c r="K3482" s="60"/>
      <c r="N3482" s="62"/>
    </row>
    <row r="3483" s="37" customFormat="1" ht="12.75" spans="6:14">
      <c r="G3483" s="58"/>
      <c r="H3483" s="59"/>
      <c r="I3483" s="58"/>
      <c r="K3483" s="60"/>
      <c r="N3483" s="62"/>
    </row>
    <row r="3484" s="37" customFormat="1" ht="12.75" spans="6:14">
      <c r="G3484" s="58"/>
      <c r="H3484" s="59"/>
      <c r="I3484" s="58"/>
      <c r="K3484" s="60"/>
      <c r="N3484" s="62"/>
    </row>
    <row r="3485" s="37" customFormat="1" ht="12.75" spans="6:14">
      <c r="G3485" s="58"/>
      <c r="H3485" s="59"/>
      <c r="I3485" s="58"/>
      <c r="K3485" s="60"/>
      <c r="N3485" s="62"/>
    </row>
    <row r="3486" s="37" customFormat="1" ht="12.75" spans="6:14">
      <c r="G3486" s="58"/>
      <c r="H3486" s="59"/>
      <c r="I3486" s="58"/>
      <c r="K3486" s="60"/>
      <c r="N3486" s="62"/>
    </row>
    <row r="3487" s="37" customFormat="1" ht="12.75" spans="6:14">
      <c r="G3487" s="58"/>
      <c r="H3487" s="59"/>
      <c r="I3487" s="58"/>
      <c r="K3487" s="60"/>
      <c r="N3487" s="62"/>
    </row>
    <row r="3488" s="37" customFormat="1" ht="12.75" spans="6:14">
      <c r="G3488" s="58"/>
      <c r="H3488" s="59"/>
      <c r="I3488" s="58"/>
      <c r="K3488" s="60"/>
      <c r="N3488" s="62"/>
    </row>
    <row r="3489" s="37" customFormat="1" ht="12.75" spans="6:14">
      <c r="G3489" s="58"/>
      <c r="H3489" s="59"/>
      <c r="I3489" s="58"/>
      <c r="K3489" s="60"/>
      <c r="N3489" s="62"/>
    </row>
    <row r="3490" s="54" customFormat="1" ht="12.75" spans="6:14">
      <c r="F3490" s="37"/>
      <c r="G3490" s="58"/>
      <c r="H3490" s="59"/>
      <c r="I3490" s="58"/>
      <c r="K3490" s="78"/>
      <c r="N3490" s="77"/>
    </row>
    <row r="3491" s="37" customFormat="1" ht="12.75" spans="6:14">
      <c r="G3491" s="58"/>
      <c r="H3491" s="59"/>
      <c r="I3491" s="58"/>
      <c r="K3491" s="60"/>
      <c r="N3491" s="62"/>
    </row>
    <row r="3492" s="37" customFormat="1" ht="12.75" spans="6:14">
      <c r="G3492" s="58"/>
      <c r="H3492" s="59"/>
      <c r="I3492" s="58"/>
      <c r="K3492" s="60"/>
      <c r="N3492" s="62"/>
    </row>
    <row r="3493" s="37" customFormat="1" ht="12.75" spans="6:14">
      <c r="G3493" s="58"/>
      <c r="H3493" s="59"/>
      <c r="I3493" s="58"/>
      <c r="K3493" s="60"/>
      <c r="N3493" s="62"/>
    </row>
    <row r="3494" s="37" customFormat="1" ht="12.75" spans="6:14">
      <c r="G3494" s="58"/>
      <c r="H3494" s="59"/>
      <c r="I3494" s="58"/>
      <c r="K3494" s="60"/>
      <c r="N3494" s="62"/>
    </row>
    <row r="3495" s="37" customFormat="1" ht="12.75" spans="6:14">
      <c r="G3495" s="58"/>
      <c r="H3495" s="59"/>
      <c r="I3495" s="58"/>
      <c r="K3495" s="60"/>
      <c r="N3495" s="62"/>
    </row>
    <row r="3496" s="37" customFormat="1" ht="12.75" spans="6:14">
      <c r="G3496" s="58"/>
      <c r="H3496" s="59"/>
      <c r="I3496" s="58"/>
      <c r="K3496" s="60"/>
      <c r="N3496" s="62"/>
    </row>
    <row r="3497" s="37" customFormat="1" ht="12.75" spans="6:14">
      <c r="G3497" s="58"/>
      <c r="H3497" s="59"/>
      <c r="I3497" s="58"/>
      <c r="K3497" s="60"/>
      <c r="N3497" s="62"/>
    </row>
    <row r="3498" s="37" customFormat="1" ht="12.75" spans="6:14">
      <c r="G3498" s="58"/>
      <c r="H3498" s="59"/>
      <c r="I3498" s="58"/>
      <c r="K3498" s="60"/>
      <c r="N3498" s="62"/>
    </row>
    <row r="3499" s="37" customFormat="1" ht="12.75" spans="6:14">
      <c r="G3499" s="58"/>
      <c r="H3499" s="59"/>
      <c r="I3499" s="58"/>
      <c r="K3499" s="60"/>
      <c r="N3499" s="62"/>
    </row>
    <row r="3500" s="37" customFormat="1" ht="12.75" spans="6:14">
      <c r="G3500" s="58"/>
      <c r="H3500" s="59"/>
      <c r="I3500" s="58"/>
      <c r="K3500" s="60"/>
      <c r="N3500" s="62"/>
    </row>
    <row r="3501" s="37" customFormat="1" ht="12.75" spans="6:14">
      <c r="G3501" s="58"/>
      <c r="H3501" s="59"/>
      <c r="I3501" s="58"/>
      <c r="K3501" s="60"/>
      <c r="N3501" s="62"/>
    </row>
    <row r="3502" s="37" customFormat="1" ht="12.75" spans="6:14">
      <c r="G3502" s="58"/>
      <c r="H3502" s="59"/>
      <c r="I3502" s="58"/>
      <c r="K3502" s="60"/>
      <c r="N3502" s="62"/>
    </row>
    <row r="3503" s="37" customFormat="1" ht="12.75" spans="6:14">
      <c r="G3503" s="58"/>
      <c r="H3503" s="59"/>
      <c r="I3503" s="58"/>
      <c r="K3503" s="60"/>
      <c r="N3503" s="62"/>
    </row>
    <row r="3504" s="37" customFormat="1" ht="12.75" spans="6:14">
      <c r="G3504" s="58"/>
      <c r="H3504" s="59"/>
      <c r="I3504" s="58"/>
      <c r="K3504" s="60"/>
      <c r="N3504" s="62"/>
    </row>
    <row r="3505" s="37" customFormat="1" ht="12.75" spans="6:14">
      <c r="G3505" s="58"/>
      <c r="H3505" s="59"/>
      <c r="I3505" s="58"/>
      <c r="K3505" s="60"/>
      <c r="N3505" s="62"/>
    </row>
    <row r="3506" s="37" customFormat="1" ht="12.75" spans="6:14">
      <c r="G3506" s="58"/>
      <c r="H3506" s="59"/>
      <c r="I3506" s="58"/>
      <c r="K3506" s="60"/>
      <c r="N3506" s="62"/>
    </row>
    <row r="3507" s="54" customFormat="1" ht="12.75" spans="6:14">
      <c r="F3507" s="37"/>
      <c r="G3507" s="58"/>
      <c r="H3507" s="59"/>
      <c r="I3507" s="58"/>
      <c r="K3507" s="78"/>
      <c r="N3507" s="77"/>
    </row>
    <row r="3508" s="37" customFormat="1" ht="12.75" spans="6:14">
      <c r="G3508" s="58"/>
      <c r="H3508" s="59"/>
      <c r="I3508" s="58"/>
      <c r="K3508" s="60"/>
      <c r="N3508" s="62"/>
    </row>
    <row r="3509" s="37" customFormat="1" ht="12.75" spans="6:14">
      <c r="G3509" s="58"/>
      <c r="H3509" s="59"/>
      <c r="I3509" s="58"/>
      <c r="K3509" s="60"/>
      <c r="N3509" s="62"/>
    </row>
    <row r="3510" s="37" customFormat="1" ht="12.75" spans="6:14">
      <c r="G3510" s="58"/>
      <c r="H3510" s="59"/>
      <c r="I3510" s="58"/>
      <c r="K3510" s="60"/>
      <c r="N3510" s="62"/>
    </row>
    <row r="3511" s="37" customFormat="1" ht="12.75" spans="6:14">
      <c r="G3511" s="58"/>
      <c r="H3511" s="59"/>
      <c r="I3511" s="58"/>
      <c r="K3511" s="60"/>
      <c r="N3511" s="62"/>
    </row>
    <row r="3512" s="37" customFormat="1" ht="12.75" spans="6:14">
      <c r="G3512" s="58"/>
      <c r="H3512" s="59"/>
      <c r="I3512" s="58"/>
      <c r="K3512" s="60"/>
      <c r="N3512" s="62"/>
    </row>
    <row r="3513" s="37" customFormat="1" ht="12.75" spans="6:14">
      <c r="G3513" s="58"/>
      <c r="H3513" s="59"/>
      <c r="I3513" s="58"/>
      <c r="K3513" s="60"/>
      <c r="N3513" s="62"/>
    </row>
    <row r="3514" s="37" customFormat="1" ht="12.75" spans="6:14">
      <c r="G3514" s="58"/>
      <c r="H3514" s="59"/>
      <c r="I3514" s="58"/>
      <c r="K3514" s="60"/>
      <c r="N3514" s="62"/>
    </row>
    <row r="3515" s="37" customFormat="1" ht="12.75" spans="6:14">
      <c r="G3515" s="58"/>
      <c r="H3515" s="59"/>
      <c r="I3515" s="58"/>
      <c r="K3515" s="60"/>
      <c r="N3515" s="62"/>
    </row>
    <row r="3516" s="54" customFormat="1" ht="12.75" spans="6:14">
      <c r="F3516" s="37"/>
      <c r="G3516" s="58"/>
      <c r="H3516" s="59"/>
      <c r="I3516" s="58"/>
      <c r="K3516" s="78"/>
      <c r="N3516" s="77"/>
    </row>
    <row r="3517" s="37" customFormat="1" ht="12.75" spans="6:14">
      <c r="G3517" s="58"/>
      <c r="H3517" s="59"/>
      <c r="I3517" s="58"/>
      <c r="K3517" s="60"/>
      <c r="N3517" s="62"/>
    </row>
    <row r="3518" s="37" customFormat="1" ht="12.75" spans="6:14">
      <c r="G3518" s="58"/>
      <c r="H3518" s="59"/>
      <c r="I3518" s="58"/>
      <c r="K3518" s="60"/>
      <c r="N3518" s="62"/>
    </row>
    <row r="3519" s="37" customFormat="1" ht="12.75" spans="6:14">
      <c r="G3519" s="58"/>
      <c r="H3519" s="59"/>
      <c r="I3519" s="58"/>
      <c r="K3519" s="60"/>
      <c r="N3519" s="62"/>
    </row>
    <row r="3520" s="37" customFormat="1" ht="12.75" spans="6:14">
      <c r="G3520" s="58"/>
      <c r="H3520" s="59"/>
      <c r="I3520" s="58"/>
      <c r="K3520" s="60"/>
      <c r="N3520" s="62"/>
    </row>
    <row r="3521" s="37" customFormat="1" ht="12.75" spans="6:14">
      <c r="G3521" s="58"/>
      <c r="H3521" s="59"/>
      <c r="I3521" s="58"/>
      <c r="K3521" s="60"/>
      <c r="N3521" s="62"/>
    </row>
    <row r="3522" s="37" customFormat="1" ht="12.75" spans="6:14">
      <c r="G3522" s="58"/>
      <c r="H3522" s="59"/>
      <c r="I3522" s="58"/>
      <c r="K3522" s="60"/>
      <c r="N3522" s="62"/>
    </row>
    <row r="3523" s="37" customFormat="1" ht="12.75" spans="6:14">
      <c r="G3523" s="58"/>
      <c r="H3523" s="59"/>
      <c r="I3523" s="58"/>
      <c r="K3523" s="60"/>
      <c r="N3523" s="62"/>
    </row>
    <row r="3524" s="37" customFormat="1" ht="12.75" spans="6:14">
      <c r="G3524" s="58"/>
      <c r="H3524" s="59"/>
      <c r="I3524" s="58"/>
      <c r="K3524" s="60"/>
      <c r="N3524" s="62"/>
    </row>
    <row r="3525" s="37" customFormat="1" ht="12.75" spans="6:14">
      <c r="G3525" s="58"/>
      <c r="H3525" s="59"/>
      <c r="I3525" s="58"/>
      <c r="K3525" s="60"/>
      <c r="N3525" s="62"/>
    </row>
    <row r="3526" s="54" customFormat="1" ht="12.75" spans="6:14">
      <c r="F3526" s="37"/>
      <c r="G3526" s="58"/>
      <c r="H3526" s="59"/>
      <c r="I3526" s="58"/>
      <c r="K3526" s="78"/>
      <c r="N3526" s="77"/>
    </row>
    <row r="3527" s="37" customFormat="1" ht="12.75" spans="6:14">
      <c r="G3527" s="58"/>
      <c r="H3527" s="59"/>
      <c r="I3527" s="58"/>
      <c r="K3527" s="60"/>
      <c r="N3527" s="62"/>
    </row>
  </sheetData>
  <autoFilter xmlns:etc="http://www.wps.cn/officeDocument/2017/etCustomData" ref="A2:H3527" etc:filterBottomFollowUsedRange="0">
    <sortState ref="A2:H3527">
      <sortCondition ref="F2"/>
    </sortState>
    <extLst/>
  </autoFilter>
  <conditionalFormatting sqref="F$1:F$1048576">
    <cfRule type="duplicateValues" dxfId="0" priority="1"/>
  </conditionalFormatting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showZeros="0" tabSelected="1" zoomScaleSheetLayoutView="70" topLeftCell="A5" workbookViewId="0">
      <pane xSplit="8" ySplit="3" topLeftCell="I8" activePane="bottomRight" state="frozen"/>
      <selection/>
      <selection pane="topRight"/>
      <selection pane="bottomLeft"/>
      <selection pane="bottomRight" activeCell="G13" sqref="G13"/>
    </sheetView>
  </sheetViews>
  <sheetFormatPr defaultColWidth="9" defaultRowHeight="15"/>
  <cols>
    <col min="1" max="1" width="3.42857142857143" style="2" customWidth="1"/>
    <col min="2" max="2" width="10.4285714285714" style="2" customWidth="1"/>
    <col min="3" max="3" width="6" style="3" customWidth="1"/>
    <col min="4" max="4" width="34.4285714285714" style="2" customWidth="1"/>
    <col min="5" max="5" width="14.7142857142857" style="2" customWidth="1"/>
    <col min="6" max="6" width="15.5714285714286" style="2" customWidth="1"/>
    <col min="7" max="7" width="13.2857142857143" style="2" customWidth="1"/>
    <col min="8" max="8" width="15.5714285714286" style="4" customWidth="1"/>
    <col min="9" max="9" width="13.8571428571429" style="2" customWidth="1"/>
    <col min="10" max="10" width="13.2857142857143" style="4" customWidth="1"/>
    <col min="11" max="11" width="11.2857142857143" style="2" customWidth="1"/>
    <col min="12" max="12" width="9.71428571428571" style="2" customWidth="1"/>
    <col min="13" max="15" width="10.5714285714286" style="2" customWidth="1"/>
    <col min="16" max="16" width="9.42857142857143" style="2" customWidth="1"/>
    <col min="17" max="17" width="7.71428571428571" style="5" customWidth="1"/>
    <col min="18" max="18" width="9" style="2" customWidth="1"/>
    <col min="19" max="19" width="27" style="3" customWidth="1"/>
    <col min="20" max="20" width="32.2857142857143" style="2" customWidth="1"/>
    <col min="21" max="16384" width="9" style="2"/>
  </cols>
  <sheetData>
    <row r="1" spans="1:20">
      <c r="B1" s="2" t="s">
        <v>734</v>
      </c>
      <c r="E1" s="2" t="s">
        <v>735</v>
      </c>
      <c r="F1" s="2" t="s">
        <v>734</v>
      </c>
      <c r="G1" s="2" t="s">
        <v>734</v>
      </c>
      <c r="H1" s="4" t="s">
        <v>735</v>
      </c>
      <c r="I1" s="2" t="s">
        <v>734</v>
      </c>
      <c r="J1" s="4" t="s">
        <v>735</v>
      </c>
      <c r="M1" s="2" t="s">
        <v>736</v>
      </c>
    </row>
    <row r="2" s="1" customFormat="1" ht="25.5" spans="1:20">
      <c r="A2" s="2"/>
      <c r="B2" s="6" t="s">
        <v>737</v>
      </c>
      <c r="C2" s="7"/>
      <c r="D2" s="7"/>
      <c r="E2" s="7"/>
      <c r="F2" s="7"/>
      <c r="G2" s="7"/>
      <c r="H2" s="8"/>
      <c r="I2" s="7"/>
      <c r="J2" s="8"/>
      <c r="K2" s="7"/>
      <c r="L2" s="9" t="s">
        <v>738</v>
      </c>
      <c r="M2" s="9"/>
      <c r="N2" s="9" t="s">
        <v>739</v>
      </c>
      <c r="O2" s="9"/>
      <c r="P2" s="9" t="s">
        <v>740</v>
      </c>
      <c r="Q2" s="10"/>
      <c r="S2" s="11"/>
    </row>
    <row r="3" s="1" customFormat="1" ht="55.5" customHeight="1" spans="1:20">
      <c r="A3" s="2"/>
      <c r="B3" s="12" t="s">
        <v>741</v>
      </c>
      <c r="C3" s="13"/>
      <c r="D3" s="13"/>
      <c r="E3" s="13"/>
      <c r="F3" s="13"/>
      <c r="G3" s="13"/>
      <c r="H3" s="14"/>
      <c r="I3" s="13"/>
      <c r="J3" s="14"/>
      <c r="K3" s="13"/>
      <c r="L3" s="15" t="s">
        <v>742</v>
      </c>
      <c r="M3" s="15"/>
      <c r="N3" s="16"/>
      <c r="O3" s="16"/>
      <c r="P3" s="16"/>
      <c r="Q3" s="17"/>
      <c r="S3" s="11"/>
    </row>
    <row r="4" s="1" customFormat="1" spans="1:20">
      <c r="A4" s="2"/>
      <c r="H4" s="18"/>
      <c r="J4" s="18"/>
      <c r="Q4" s="19"/>
      <c r="S4" s="11"/>
    </row>
    <row r="5" s="1" customFormat="1" ht="41.25" customHeight="1" spans="1:20">
      <c r="A5" s="2"/>
      <c r="B5" s="20" t="s">
        <v>743</v>
      </c>
      <c r="C5" s="20"/>
      <c r="D5" s="20"/>
      <c r="E5" s="20" t="s">
        <v>744</v>
      </c>
      <c r="F5" s="20"/>
      <c r="G5" s="20"/>
      <c r="H5" s="21"/>
      <c r="I5" s="20"/>
      <c r="J5" s="22" t="s">
        <v>745</v>
      </c>
      <c r="K5" s="20"/>
      <c r="L5" s="20"/>
      <c r="M5" s="20"/>
      <c r="N5" s="23">
        <v>46303</v>
      </c>
      <c r="O5" s="23"/>
      <c r="P5" s="23"/>
      <c r="Q5" s="24"/>
      <c r="R5" s="25"/>
      <c r="S5" s="16"/>
      <c r="T5" s="25"/>
    </row>
    <row r="6" ht="62.25" customHeight="1" spans="1:20">
      <c r="B6" s="26" t="s">
        <v>746</v>
      </c>
      <c r="C6" s="27" t="s">
        <v>747</v>
      </c>
      <c r="D6" s="26" t="s">
        <v>748</v>
      </c>
      <c r="E6" s="28" t="s">
        <v>749</v>
      </c>
      <c r="F6" s="29" t="s">
        <v>750</v>
      </c>
      <c r="G6" s="29" t="s">
        <v>751</v>
      </c>
      <c r="H6" s="30" t="s">
        <v>752</v>
      </c>
      <c r="I6" s="29" t="s">
        <v>753</v>
      </c>
      <c r="J6" s="30" t="s">
        <v>754</v>
      </c>
      <c r="K6" s="29" t="s">
        <v>755</v>
      </c>
      <c r="L6" s="29" t="s">
        <v>756</v>
      </c>
      <c r="M6" s="31" t="s">
        <v>757</v>
      </c>
      <c r="N6" s="31"/>
      <c r="O6" s="31"/>
      <c r="P6" s="31"/>
      <c r="Q6" s="32" t="s">
        <v>758</v>
      </c>
      <c r="R6" s="29" t="s">
        <v>759</v>
      </c>
      <c r="S6" s="26" t="s">
        <v>760</v>
      </c>
      <c r="T6" s="29" t="s">
        <v>761</v>
      </c>
    </row>
    <row r="7" ht="75.75" customHeight="1" spans="1:20">
      <c r="B7" s="26" t="s">
        <v>762</v>
      </c>
      <c r="C7" s="26" t="s">
        <v>763</v>
      </c>
      <c r="D7" s="27" t="s">
        <v>764</v>
      </c>
      <c r="E7" s="33" t="s">
        <v>765</v>
      </c>
      <c r="F7" s="29" t="s">
        <v>766</v>
      </c>
      <c r="G7" s="29" t="s">
        <v>767</v>
      </c>
      <c r="H7" s="30" t="s">
        <v>768</v>
      </c>
      <c r="I7" s="29" t="s">
        <v>769</v>
      </c>
      <c r="J7" s="30" t="s">
        <v>770</v>
      </c>
      <c r="K7" s="29" t="s">
        <v>771</v>
      </c>
      <c r="L7" s="29" t="s">
        <v>772</v>
      </c>
      <c r="M7" s="34" t="s">
        <v>773</v>
      </c>
      <c r="N7" s="34" t="s">
        <v>774</v>
      </c>
      <c r="O7" s="29" t="s">
        <v>775</v>
      </c>
      <c r="P7" s="26" t="s">
        <v>776</v>
      </c>
      <c r="Q7" s="32" t="s">
        <v>777</v>
      </c>
      <c r="R7" s="29" t="s">
        <v>778</v>
      </c>
      <c r="S7" s="26" t="s">
        <v>779</v>
      </c>
      <c r="T7" s="29" t="s">
        <v>780</v>
      </c>
    </row>
    <row r="8" ht="36" customHeight="1" spans="1:20">
      <c r="B8" s="35" t="str">
        <f>_xlfn.XLOOKUP($E8,[1]Sheet2!$F:$F,[1]Sheet2!$B:$B)</f>
        <v>Mini</v>
      </c>
      <c r="C8" s="36">
        <v>1</v>
      </c>
      <c r="D8" s="35" t="str">
        <f>_xlfn.XLOOKUP($E8,[1]Sheet2!$F:$F,[1]Sheet2!$D:$D)</f>
        <v>Green Yellow</v>
      </c>
      <c r="E8" s="37" t="s">
        <v>115</v>
      </c>
      <c r="F8" s="38">
        <f>_xlfn.XLOOKUP($E8,[1]Sheet2!$F:$F,[1]Sheet2!$G:$G)</f>
        <v>165650</v>
      </c>
      <c r="G8" s="39">
        <f>_xlfn.XLOOKUP($E8,[1]Sheet2!$F:$F,[1]Sheet2!$I:$I)</f>
        <v>75295</v>
      </c>
      <c r="H8" s="40">
        <v>181200</v>
      </c>
      <c r="I8" s="41">
        <f>IFERROR(ROUNDDOWN(H8/_xlfn.XLOOKUP(E8,Sheet2!$F:$F,Sheet2!$H:$H),0),0)</f>
        <v>82363</v>
      </c>
      <c r="J8" s="42">
        <v>81581</v>
      </c>
      <c r="K8" s="38">
        <f>IFERROR(L8*_xlfn.XLOOKUP($E8,Sheet2!$F:$F,Sheet2!$H:$H),0)</f>
        <v>1720.4</v>
      </c>
      <c r="L8" s="39">
        <f t="shared" ref="L8:L15" si="0">IFERROR(I8-J8,0)</f>
        <v>782</v>
      </c>
      <c r="M8" s="43">
        <v>0.333333333333333</v>
      </c>
      <c r="N8" s="43">
        <v>0.708333333333333</v>
      </c>
      <c r="O8" s="44">
        <v>80</v>
      </c>
      <c r="P8" s="39">
        <f t="shared" ref="P8:P15" si="1">MOD(N8-M8,1)*24*60-O8</f>
        <v>460</v>
      </c>
      <c r="Q8" s="45">
        <v>0.5</v>
      </c>
      <c r="R8" s="39">
        <v>30</v>
      </c>
      <c r="S8" s="46" t="s">
        <v>781</v>
      </c>
      <c r="T8" s="39" t="s">
        <v>782</v>
      </c>
    </row>
    <row r="9" ht="29" customHeight="1" spans="1:20">
      <c r="B9" s="35" t="str">
        <f>_xlfn.XLOOKUP($E9,[1]Sheet2!$F:$F,[1]Sheet2!$B:$B)</f>
        <v>Mini</v>
      </c>
      <c r="C9" s="36">
        <v>2</v>
      </c>
      <c r="D9" s="35" t="str">
        <f>_xlfn.XLOOKUP($E9,[1]Sheet2!$F:$F,[1]Sheet2!$D:$D)</f>
        <v>Indigo</v>
      </c>
      <c r="E9" s="47" t="s">
        <v>156</v>
      </c>
      <c r="F9" s="38">
        <f>_xlfn.XLOOKUP($E9,[1]Sheet2!$F:$F,[1]Sheet2!$G:$G)</f>
        <v>169750</v>
      </c>
      <c r="G9" s="39">
        <f>_xlfn.XLOOKUP($E9,[1]Sheet2!$F:$F,[1]Sheet2!$I:$I)</f>
        <v>77159</v>
      </c>
      <c r="H9" s="40">
        <v>192100</v>
      </c>
      <c r="I9" s="41">
        <f>IFERROR(ROUNDDOWN(H9/_xlfn.XLOOKUP(E9,Sheet2!$F:$F,Sheet2!$H:$H),0),0)</f>
        <v>87318</v>
      </c>
      <c r="J9" s="42">
        <v>86409</v>
      </c>
      <c r="K9" s="38">
        <f>IFERROR(L9*_xlfn.XLOOKUP($E9,Sheet2!$F:$F,Sheet2!$H:$H),0)</f>
        <v>1999.8</v>
      </c>
      <c r="L9" s="39">
        <f t="shared" si="0"/>
        <v>909</v>
      </c>
      <c r="M9" s="43">
        <v>0.333333333333333</v>
      </c>
      <c r="N9" s="43">
        <v>0.708333333333333</v>
      </c>
      <c r="O9" s="44">
        <v>80</v>
      </c>
      <c r="P9" s="39">
        <f t="shared" si="1"/>
        <v>460</v>
      </c>
      <c r="Q9" s="45">
        <v>0.5</v>
      </c>
      <c r="R9" s="39">
        <v>30</v>
      </c>
      <c r="S9" s="46" t="s">
        <v>781</v>
      </c>
      <c r="T9" s="39" t="s">
        <v>782</v>
      </c>
    </row>
    <row r="10" ht="27" customHeight="1" spans="1:20">
      <c r="B10" s="35" t="str">
        <f>_xlfn.XLOOKUP($E10,[1]Sheet2!$F:$F,[1]Sheet2!$B:$B)</f>
        <v>Dial</v>
      </c>
      <c r="C10" s="36">
        <v>1</v>
      </c>
      <c r="D10" s="35" t="str">
        <f>_xlfn.XLOOKUP($E10,[1]Sheet2!$F:$F,[1]Sheet2!$D:$D)</f>
        <v>Black</v>
      </c>
      <c r="E10" s="47" t="s">
        <v>71</v>
      </c>
      <c r="F10" s="38">
        <f>_xlfn.XLOOKUP($E10,[1]Sheet2!$F:$F,[1]Sheet2!$G:$G)</f>
        <v>180000</v>
      </c>
      <c r="G10" s="39">
        <f>_xlfn.XLOOKUP($E10,[1]Sheet2!$F:$F,[1]Sheet2!$I:$I)</f>
        <v>51428</v>
      </c>
      <c r="H10" s="40">
        <f>_xlfn.XLOOKUP($E10,[1]Sheet2!$F:$F,[1]Sheet2!$G:$G)</f>
        <v>180000</v>
      </c>
      <c r="I10" s="41">
        <f>IFERROR(ROUNDDOWN(H10/_xlfn.XLOOKUP(E10,Sheet2!$F:$F,Sheet2!$H:$H),0),0)</f>
        <v>48387</v>
      </c>
      <c r="J10" s="42">
        <v>47668</v>
      </c>
      <c r="K10" s="38">
        <f>IFERROR(L10*_xlfn.XLOOKUP($E10,Sheet2!$F:$F,Sheet2!$H:$H),0)</f>
        <v>2674.68</v>
      </c>
      <c r="L10" s="39">
        <f t="shared" si="0"/>
        <v>719</v>
      </c>
      <c r="M10" s="43">
        <v>0.333333333333333</v>
      </c>
      <c r="N10" s="43">
        <v>0.708333333333333</v>
      </c>
      <c r="O10" s="44">
        <v>80</v>
      </c>
      <c r="P10" s="39">
        <f t="shared" si="1"/>
        <v>460</v>
      </c>
      <c r="Q10" s="45">
        <v>0.5</v>
      </c>
      <c r="R10" s="39">
        <v>30</v>
      </c>
      <c r="S10" s="46" t="s">
        <v>781</v>
      </c>
      <c r="T10" s="39" t="s">
        <v>782</v>
      </c>
    </row>
    <row r="11" ht="31.5" spans="1:20">
      <c r="B11" s="35" t="str">
        <f>_xlfn.XLOOKUP($E11,[1]Sheet2!$F:$F,[1]Sheet2!$B:$B)</f>
        <v>Dial</v>
      </c>
      <c r="C11" s="36">
        <v>2</v>
      </c>
      <c r="D11" s="35" t="str">
        <f>_xlfn.XLOOKUP($E11,[1]Sheet2!$F:$F,[1]Sheet2!$D:$D)</f>
        <v>Apricot</v>
      </c>
      <c r="E11" s="47" t="s">
        <v>57</v>
      </c>
      <c r="F11" s="38">
        <f>_xlfn.XLOOKUP($E11,[1]Sheet2!$F:$F,[1]Sheet2!$G:$G)</f>
        <v>181640</v>
      </c>
      <c r="G11" s="39">
        <f>_xlfn.XLOOKUP($E11,[1]Sheet2!$F:$F,[1]Sheet2!$I:$I)</f>
        <v>51897</v>
      </c>
      <c r="H11" s="40">
        <v>197200</v>
      </c>
      <c r="I11" s="41">
        <f>IFERROR(ROUNDDOWN(H11/_xlfn.XLOOKUP(E11,Sheet2!$F:$F,Sheet2!$H:$H),0),0)</f>
        <v>56342</v>
      </c>
      <c r="J11" s="42">
        <v>55720</v>
      </c>
      <c r="K11" s="38">
        <f>IFERROR(L11*_xlfn.XLOOKUP($E11,Sheet2!$F:$F,Sheet2!$H:$H),0)</f>
        <v>2177</v>
      </c>
      <c r="L11" s="39">
        <f t="shared" si="0"/>
        <v>622</v>
      </c>
      <c r="M11" s="43">
        <v>0.333333333333333</v>
      </c>
      <c r="N11" s="43">
        <v>0.708333333333333</v>
      </c>
      <c r="O11" s="44">
        <v>80</v>
      </c>
      <c r="P11" s="39">
        <f t="shared" si="1"/>
        <v>460</v>
      </c>
      <c r="Q11" s="45">
        <v>0.5</v>
      </c>
      <c r="R11" s="39">
        <v>30</v>
      </c>
      <c r="S11" s="46" t="s">
        <v>781</v>
      </c>
      <c r="T11" s="39" t="s">
        <v>782</v>
      </c>
    </row>
    <row r="12" ht="31.5" spans="1:20">
      <c r="B12" s="35" t="str">
        <f>_xlfn.XLOOKUP($E12,[1]Sheet2!$F:$F,[1]Sheet2!$B:$B)</f>
        <v>Pencil</v>
      </c>
      <c r="C12" s="36">
        <v>24</v>
      </c>
      <c r="D12" s="35" t="str">
        <f>_xlfn.XLOOKUP($E12,[1]Sheet2!$F:$F,[1]Sheet2!$D:$D)</f>
        <v>Blue Violet</v>
      </c>
      <c r="E12" s="47" t="s">
        <v>479</v>
      </c>
      <c r="F12" s="38">
        <f>_xlfn.XLOOKUP($E12,[1]Sheet2!$F:$F,[1]Sheet2!$G:$G)</f>
        <v>45375</v>
      </c>
      <c r="G12" s="39">
        <v>74385</v>
      </c>
      <c r="H12" s="40">
        <f>_xlfn.XLOOKUP($E12,[1]Sheet2!$F:$F,[1]Sheet2!$G:$G)</f>
        <v>45375</v>
      </c>
      <c r="I12" s="41">
        <f>IFERROR(ROUNDDOWN(H12/_xlfn.XLOOKUP(E12,Sheet2!$F:$F,Sheet2!$H:$H),0),0)</f>
        <v>74385</v>
      </c>
      <c r="J12" s="42">
        <v>72877</v>
      </c>
      <c r="K12" s="38">
        <f>IFERROR(L12*_xlfn.XLOOKUP($E12,Sheet2!$F:$F,Sheet2!$H:$H),0)</f>
        <v>919.88</v>
      </c>
      <c r="L12" s="39">
        <f t="shared" si="0"/>
        <v>1508</v>
      </c>
      <c r="M12" s="43">
        <v>0.333333333333333</v>
      </c>
      <c r="N12" s="43">
        <v>0.708333333333333</v>
      </c>
      <c r="O12" s="44">
        <v>80</v>
      </c>
      <c r="P12" s="39">
        <f t="shared" si="1"/>
        <v>460</v>
      </c>
      <c r="Q12" s="45">
        <v>0.5</v>
      </c>
      <c r="R12" s="39">
        <v>30</v>
      </c>
      <c r="S12" s="46" t="s">
        <v>781</v>
      </c>
      <c r="T12" s="39" t="s">
        <v>782</v>
      </c>
    </row>
    <row r="13" ht="31.5" spans="1:20">
      <c r="B13" s="35" t="str">
        <f>_xlfn.XLOOKUP($E13,[1]Sheet2!$F:$F,[1]Sheet2!$B:$B)</f>
        <v>Pencil</v>
      </c>
      <c r="C13" s="36">
        <v>25</v>
      </c>
      <c r="D13" s="35" t="str">
        <f>_xlfn.XLOOKUP($E13,[1]Sheet2!$F:$F,[1]Sheet2!$D:$D)</f>
        <v>Maroon</v>
      </c>
      <c r="E13" s="47" t="s">
        <v>491</v>
      </c>
      <c r="F13" s="38">
        <f>_xlfn.XLOOKUP($E13,[1]Sheet2!$F:$F,[1]Sheet2!$G:$G)</f>
        <v>42100</v>
      </c>
      <c r="G13" s="39">
        <v>67903</v>
      </c>
      <c r="H13" s="40">
        <f>_xlfn.XLOOKUP($E13,[1]Sheet2!$F:$F,[1]Sheet2!$G:$G)</f>
        <v>42100</v>
      </c>
      <c r="I13" s="41">
        <f>IFERROR(ROUNDDOWN(H13/_xlfn.XLOOKUP(E13,Sheet2!$F:$F,Sheet2!$H:$H),0),0)</f>
        <v>67903</v>
      </c>
      <c r="J13" s="42">
        <v>66175</v>
      </c>
      <c r="K13" s="38">
        <f>IFERROR(L13*_xlfn.XLOOKUP($E13,Sheet2!$F:$F,Sheet2!$H:$H),0)</f>
        <v>1071.36</v>
      </c>
      <c r="L13" s="39">
        <f t="shared" si="0"/>
        <v>1728</v>
      </c>
      <c r="M13" s="43">
        <v>0.333333333333333</v>
      </c>
      <c r="N13" s="43">
        <v>0.708333333333333</v>
      </c>
      <c r="O13" s="44">
        <v>80</v>
      </c>
      <c r="P13" s="39">
        <f t="shared" si="1"/>
        <v>460</v>
      </c>
      <c r="Q13" s="45">
        <v>0.5</v>
      </c>
      <c r="R13" s="39">
        <v>30</v>
      </c>
      <c r="S13" s="46" t="s">
        <v>781</v>
      </c>
      <c r="T13" s="39" t="s">
        <v>782</v>
      </c>
    </row>
    <row r="14" ht="31.5" spans="1:20">
      <c r="B14" s="35" t="str">
        <f>_xlfn.XLOOKUP($E14,[1]Sheet2!$F:$F,[1]Sheet2!$B:$B)</f>
        <v>Peel</v>
      </c>
      <c r="C14" s="48">
        <v>1</v>
      </c>
      <c r="D14" s="35" t="str">
        <f>_xlfn.XLOOKUP($E14,[1]Sheet2!$F:$F,[1]Sheet2!$D:$D)</f>
        <v>Light Green</v>
      </c>
      <c r="E14" s="47" t="s">
        <v>705</v>
      </c>
      <c r="F14" s="38">
        <v>120000</v>
      </c>
      <c r="G14" s="39">
        <v>32432</v>
      </c>
      <c r="H14" s="40">
        <v>120000</v>
      </c>
      <c r="I14" s="41">
        <f>IFERROR(ROUNDDOWN(H14/_xlfn.XLOOKUP(E14,Sheet2!$F:$F,Sheet2!$H:$H),0),0)</f>
        <v>32432</v>
      </c>
      <c r="J14" s="49">
        <v>32000</v>
      </c>
      <c r="K14" s="38">
        <f>IFERROR(L14*_xlfn.XLOOKUP($E14,Sheet2!$F:$F,Sheet2!$H:$H),0)</f>
        <v>1598.4</v>
      </c>
      <c r="L14" s="39">
        <f t="shared" si="0"/>
        <v>432</v>
      </c>
      <c r="M14" s="50">
        <v>0.333333333333333</v>
      </c>
      <c r="N14" s="43">
        <v>0.708333333333333</v>
      </c>
      <c r="O14" s="44">
        <v>80</v>
      </c>
      <c r="P14" s="39">
        <f t="shared" si="1"/>
        <v>460</v>
      </c>
      <c r="Q14" s="51">
        <v>1</v>
      </c>
      <c r="R14" s="52">
        <v>25</v>
      </c>
      <c r="S14" s="46" t="s">
        <v>781</v>
      </c>
      <c r="T14" s="52" t="s">
        <v>782</v>
      </c>
    </row>
    <row r="15" ht="31.5" spans="1:20">
      <c r="B15" s="35" t="s">
        <v>693</v>
      </c>
      <c r="C15" s="48">
        <v>2</v>
      </c>
      <c r="D15" s="35" t="str">
        <f>_xlfn.XLOOKUP($E15,[1]Sheet2!$F:$F,[1]Sheet2!$D:$D)</f>
        <v>Yellow</v>
      </c>
      <c r="E15" s="47" t="s">
        <v>702</v>
      </c>
      <c r="F15" s="38">
        <v>89000</v>
      </c>
      <c r="G15" s="39">
        <v>24054</v>
      </c>
      <c r="H15" s="40">
        <v>89000</v>
      </c>
      <c r="I15" s="41">
        <f>IFERROR(ROUNDDOWN(H15/_xlfn.XLOOKUP(E15,Sheet2!$F:$F,Sheet2!$H:$H),0),0)</f>
        <v>24054</v>
      </c>
      <c r="J15" s="49">
        <v>23600</v>
      </c>
      <c r="K15" s="38">
        <f>L15*3.9</f>
        <v>1770.6</v>
      </c>
      <c r="L15" s="39">
        <f t="shared" si="0"/>
        <v>454</v>
      </c>
      <c r="M15" s="50">
        <v>0.333333333333333</v>
      </c>
      <c r="N15" s="43">
        <v>0.708333333333333</v>
      </c>
      <c r="O15" s="44">
        <v>80</v>
      </c>
      <c r="P15" s="39">
        <f t="shared" si="1"/>
        <v>460</v>
      </c>
      <c r="Q15" s="51">
        <v>1</v>
      </c>
      <c r="R15" s="52">
        <v>25</v>
      </c>
      <c r="S15" s="46" t="s">
        <v>781</v>
      </c>
      <c r="T15" s="52" t="s">
        <v>782</v>
      </c>
    </row>
  </sheetData>
  <mergeCells count="12">
    <mergeCell ref="B2:K2"/>
    <mergeCell ref="L2:M2"/>
    <mergeCell ref="N2:O2"/>
    <mergeCell ref="P2:Q2"/>
    <mergeCell ref="B3:K3"/>
    <mergeCell ref="L3:M3"/>
    <mergeCell ref="N3:O3"/>
    <mergeCell ref="P3:Q3"/>
    <mergeCell ref="B5:D5"/>
    <mergeCell ref="E5:I5"/>
    <mergeCell ref="J5:M5"/>
    <mergeCell ref="N5:Q5"/>
  </mergeCells>
  <conditionalFormatting sqref="E8">
    <cfRule type="duplicateValues" dxfId="0" priority="1"/>
  </conditionalFormatting>
  <conditionalFormatting sqref="E9">
    <cfRule type="duplicateValues" dxfId="0" priority="82"/>
  </conditionalFormatting>
  <conditionalFormatting sqref="E10">
    <cfRule type="duplicateValues" dxfId="0" priority="6"/>
  </conditionalFormatting>
  <conditionalFormatting sqref="E11">
    <cfRule type="duplicateValues" dxfId="0" priority="5"/>
  </conditionalFormatting>
  <conditionalFormatting sqref="E12">
    <cfRule type="duplicateValues" dxfId="0" priority="20"/>
  </conditionalFormatting>
  <conditionalFormatting sqref="E13">
    <cfRule type="duplicateValues" dxfId="0" priority="4"/>
  </conditionalFormatting>
  <conditionalFormatting sqref="E14">
    <cfRule type="duplicateValues" dxfId="0" priority="3"/>
  </conditionalFormatting>
  <conditionalFormatting sqref="E15">
    <cfRule type="duplicateValues" dxfId="0" priority="2"/>
  </conditionalFormatting>
  <printOptions horizontalCentered="1"/>
  <pageMargins left="0.15748031496063" right="0.15748031496063" top="0.31496062992126" bottom="0.196850393700787" header="0.31496062992126" footer="0.31496062992126"/>
  <pageSetup paperSize="9" scale="6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Báo cáo ép lõi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Bosung Bosung</dc:creator>
  <cp:lastModifiedBy>WPS_1777620046</cp:lastModifiedBy>
  <dcterms:created xsi:type="dcterms:W3CDTF">2026-05-12T02:48:00Z</dcterms:created>
  <cp:lastPrinted>2026-05-20T09:23:00Z</cp:lastPrinted>
  <dcterms:modified xsi:type="dcterms:W3CDTF">2026-10-09T07:19:52Z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3A82AA0E9AC94530B59A5EBF8D367EC5_13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