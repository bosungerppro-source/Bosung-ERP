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ggoi1\Desktop\"/>
    </mc:Choice>
  </mc:AlternateContent>
  <xr:revisionPtr revIDLastSave="0" documentId="8_{AFA51BA8-7633-43E6-BADC-BC9EF62D3E9A}" xr6:coauthVersionLast="47" xr6:coauthVersionMax="47" xr10:uidLastSave="{00000000-0000-0000-0000-000000000000}"/>
  <bookViews>
    <workbookView xWindow="-120" yWindow="-120" windowWidth="29040" windowHeight="15720" xr2:uid="{CAE11F8F-2C87-49A8-A229-55878F91A4D8}"/>
  </bookViews>
  <sheets>
    <sheet name="Báo cáo (2)" sheetId="1" r:id="rId1"/>
  </sheets>
  <externalReferences>
    <externalReference r:id="rId2"/>
  </externalReferences>
  <definedNames>
    <definedName name="_Fill" hidden="1">#REF!</definedName>
    <definedName name="_Order1" hidden="1">255</definedName>
    <definedName name="_Order2" hidden="1">255</definedName>
    <definedName name="_Sort" hidden="1">#REF!</definedName>
    <definedName name="file" hidden="1">{#N/A,#N/A,FALSE,"Chi tiÆt"}</definedName>
    <definedName name="HTML_CodePage" hidden="1">950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Mini10">#REF!</definedName>
    <definedName name="Mini24">#REF!</definedName>
    <definedName name="nbas">#REF!</definedName>
    <definedName name="ngay1">#REF!</definedName>
    <definedName name="ngay2">#REF!</definedName>
    <definedName name="Pencil30">#REF!</definedName>
    <definedName name="Pencil50">#REF!</definedName>
    <definedName name="_xlnm.Print_Area" localSheetId="0">'Báo cáo (2)'!$A$1:$U$21</definedName>
    <definedName name="wrn.chi._.tiÆt." hidden="1">{#N/A,#N/A,FALSE,"Chi tiÆt"}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" i="1" l="1"/>
  <c r="E21" i="1"/>
  <c r="C21" i="1"/>
  <c r="B21" i="1"/>
  <c r="H21" i="1" s="1"/>
  <c r="L21" i="1" s="1"/>
  <c r="A21" i="1"/>
  <c r="Q20" i="1"/>
  <c r="E20" i="1"/>
  <c r="C20" i="1"/>
  <c r="B20" i="1"/>
  <c r="H20" i="1" s="1"/>
  <c r="L20" i="1" s="1"/>
  <c r="A20" i="1"/>
  <c r="Q19" i="1"/>
  <c r="E19" i="1"/>
  <c r="C19" i="1"/>
  <c r="B19" i="1"/>
  <c r="H19" i="1" s="1"/>
  <c r="L19" i="1" s="1"/>
  <c r="A19" i="1"/>
  <c r="Q18" i="1"/>
  <c r="H18" i="1"/>
  <c r="L18" i="1" s="1"/>
  <c r="E18" i="1"/>
  <c r="C18" i="1"/>
  <c r="B18" i="1"/>
  <c r="A18" i="1"/>
  <c r="Q17" i="1"/>
  <c r="H17" i="1"/>
  <c r="L17" i="1" s="1"/>
  <c r="E17" i="1"/>
  <c r="C17" i="1"/>
  <c r="B17" i="1"/>
  <c r="A17" i="1"/>
  <c r="Q16" i="1"/>
  <c r="H16" i="1"/>
  <c r="L16" i="1" s="1"/>
  <c r="E16" i="1"/>
  <c r="C16" i="1"/>
  <c r="B16" i="1"/>
  <c r="A16" i="1"/>
  <c r="Q15" i="1"/>
  <c r="E15" i="1"/>
  <c r="C15" i="1"/>
  <c r="B15" i="1"/>
  <c r="H15" i="1" s="1"/>
  <c r="L15" i="1" s="1"/>
  <c r="A15" i="1"/>
  <c r="Q14" i="1"/>
  <c r="E14" i="1"/>
  <c r="C14" i="1"/>
  <c r="B14" i="1"/>
  <c r="H14" i="1" s="1"/>
  <c r="L14" i="1" s="1"/>
  <c r="A14" i="1"/>
  <c r="E13" i="1"/>
  <c r="C13" i="1"/>
  <c r="B13" i="1"/>
  <c r="H13" i="1" s="1"/>
  <c r="L13" i="1" s="1"/>
  <c r="A13" i="1"/>
  <c r="Q12" i="1"/>
  <c r="H12" i="1"/>
  <c r="L12" i="1" s="1"/>
  <c r="E12" i="1"/>
  <c r="C12" i="1"/>
  <c r="B12" i="1"/>
  <c r="A12" i="1"/>
  <c r="Q11" i="1"/>
  <c r="H11" i="1"/>
  <c r="L11" i="1" s="1"/>
  <c r="E11" i="1"/>
  <c r="C11" i="1"/>
  <c r="B11" i="1"/>
  <c r="A11" i="1"/>
  <c r="E10" i="1"/>
  <c r="C10" i="1"/>
  <c r="B10" i="1"/>
  <c r="H10" i="1" s="1"/>
  <c r="L10" i="1" s="1"/>
  <c r="A10" i="1"/>
  <c r="Q9" i="1"/>
  <c r="E9" i="1"/>
  <c r="C9" i="1"/>
  <c r="B9" i="1"/>
  <c r="H9" i="1" s="1"/>
  <c r="L9" i="1" s="1"/>
  <c r="A9" i="1"/>
  <c r="Q8" i="1"/>
  <c r="E8" i="1"/>
  <c r="C8" i="1"/>
  <c r="B8" i="1"/>
  <c r="H8" i="1" s="1"/>
  <c r="L8" i="1" s="1"/>
  <c r="A8" i="1"/>
  <c r="Q7" i="1"/>
  <c r="E7" i="1"/>
  <c r="C7" i="1"/>
  <c r="B7" i="1"/>
  <c r="H7" i="1" s="1"/>
  <c r="L7" i="1" s="1"/>
  <c r="A7" i="1"/>
  <c r="Q6" i="1"/>
  <c r="E6" i="1"/>
  <c r="C6" i="1"/>
  <c r="B6" i="1"/>
  <c r="H6" i="1" s="1"/>
  <c r="L6" i="1" s="1"/>
  <c r="A6" i="1"/>
</calcChain>
</file>

<file path=xl/sharedStrings.xml><?xml version="1.0" encoding="utf-8"?>
<sst xmlns="http://schemas.openxmlformats.org/spreadsheetml/2006/main" count="56" uniqueCount="46">
  <si>
    <t xml:space="preserve">      생 산 일 보                                                                </t>
  </si>
  <si>
    <t xml:space="preserve">Created by </t>
  </si>
  <si>
    <t xml:space="preserve">Checked by </t>
  </si>
  <si>
    <t>Approved by</t>
  </si>
  <si>
    <t>BÁO CÁO SẢN XUẤT HÀNG NGÀY</t>
  </si>
  <si>
    <t>1. 작업장명
Tên công đoạn</t>
  </si>
  <si>
    <t>포장실(Packing)
Đóng gói</t>
  </si>
  <si>
    <t>2. 생산일자
Ngày sản xuất</t>
  </si>
  <si>
    <t>① Products name</t>
    <phoneticPr fontId="0" type="noConversion"/>
  </si>
  <si>
    <t>② Product Code</t>
    <phoneticPr fontId="0" type="noConversion"/>
  </si>
  <si>
    <t>③ PO Number.</t>
    <phoneticPr fontId="0" type="noConversion"/>
  </si>
  <si>
    <t>④ PO Qty(set)</t>
    <phoneticPr fontId="0" type="noConversion"/>
  </si>
  <si>
    <t>⑤ MC</t>
  </si>
  <si>
    <t>⑥ MC No.</t>
    <phoneticPr fontId="0" type="noConversion"/>
  </si>
  <si>
    <t>⑦ qty/set</t>
    <phoneticPr fontId="0" type="noConversion"/>
  </si>
  <si>
    <t>⑧ Plan qty(set)</t>
    <phoneticPr fontId="0" type="noConversion"/>
  </si>
  <si>
    <t>⑨ Real qty(set)</t>
    <phoneticPr fontId="0" type="noConversion"/>
  </si>
  <si>
    <t>Real qty(CT)</t>
  </si>
  <si>
    <t>Real qty(ea)</t>
    <phoneticPr fontId="0" type="noConversion"/>
  </si>
  <si>
    <t>⑩ NG qty (ea)</t>
    <phoneticPr fontId="0" type="noConversion"/>
  </si>
  <si>
    <t>⑪ Working Time(min)</t>
  </si>
  <si>
    <t>⑫ Man power</t>
    <phoneticPr fontId="0" type="noConversion"/>
  </si>
  <si>
    <t>⑬ stop MC(min)</t>
  </si>
  <si>
    <t>Stop reason</t>
  </si>
  <si>
    <t>⑭ DAY/NIGHT</t>
    <phoneticPr fontId="0" type="noConversion"/>
  </si>
  <si>
    <t>① Tên sản phẩm</t>
  </si>
  <si>
    <t>② Mã hàng (Code)</t>
    <phoneticPr fontId="0" type="noConversion"/>
  </si>
  <si>
    <t>③ Số PO</t>
  </si>
  <si>
    <t>④ Số lượng PO(set)</t>
  </si>
  <si>
    <t>⑤ Tên thiết bị</t>
  </si>
  <si>
    <t>⑥ Mã thiết bị</t>
  </si>
  <si>
    <t>⑧ Số lượng đạt (set)</t>
  </si>
  <si>
    <t>⑨ Số lượng sản xuất thực tế (set)</t>
  </si>
  <si>
    <t>⑩ Số lượng NG (ea)</t>
  </si>
  <si>
    <t>Bắt đầu</t>
  </si>
  <si>
    <t>Kết thúc</t>
  </si>
  <si>
    <t>Nghỉ quy định</t>
  </si>
  <si>
    <t>Số phút quy đổi</t>
  </si>
  <si>
    <t>⑫ Công nhân</t>
    <phoneticPr fontId="0" type="noConversion"/>
  </si>
  <si>
    <t>⑬ Thời gian ngưng máy (min)</t>
  </si>
  <si>
    <t>Lý do dừng</t>
  </si>
  <si>
    <t xml:space="preserve">⑭ Ca ngày / Ca đêm
</t>
    <phoneticPr fontId="0" type="noConversion"/>
  </si>
  <si>
    <t>PENCIL</t>
  </si>
  <si>
    <t>D</t>
    <phoneticPr fontId="0" type="noConversion"/>
  </si>
  <si>
    <t>124370E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</si>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</sst>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10000]d/m/yyyy;@"/>
    <numFmt numFmtId="165" formatCode="#,##0;[Red]#,##0"/>
    <numFmt numFmtId="166" formatCode="0.0_ "/>
  </numFmts>
  <fonts count="12">
    <font>
      <sz val="11"/>
      <color theme="1"/>
      <name val="Calibri"/>
      <family val="2"/>
      <charset val="129"/>
      <scheme val="minor"/>
    </font>
    <font>
      <sz val="10"/>
      <color theme="1"/>
      <name val="Times New Roman"/>
      <family val="1"/>
    </font>
    <font>
      <b/>
      <sz val="20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9"/>
      <color indexed="8"/>
      <name val="Times New Roman"/>
      <family val="1"/>
    </font>
    <font>
      <sz val="14"/>
      <color indexed="8"/>
      <name val="Times New Roman"/>
      <family val="1"/>
    </font>
    <font>
      <sz val="16"/>
      <color indexed="8"/>
      <name val="Times New Roman"/>
      <family val="1"/>
    </font>
    <font>
      <sz val="28"/>
      <color indexed="8"/>
      <name val="Times New Roman"/>
      <family val="1"/>
    </font>
    <font>
      <sz val="10"/>
      <color indexed="8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/>
  </cellStyleXfs>
  <cellXfs count="8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Continuous" vertical="center" wrapText="1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 applyAlignment="1">
      <alignment horizontal="centerContinuous" vertical="center"/>
    </xf>
    <xf numFmtId="0" fontId="3" fillId="0" borderId="3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Continuous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left" vertical="center"/>
    </xf>
    <xf numFmtId="38" fontId="2" fillId="0" borderId="0" xfId="0" applyNumberFormat="1" applyFont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Continuous" vertical="center" wrapText="1"/>
    </xf>
    <xf numFmtId="0" fontId="5" fillId="0" borderId="7" xfId="0" applyFont="1" applyBorder="1" applyAlignment="1">
      <alignment horizontal="centerContinuous" vertical="center" wrapText="1"/>
    </xf>
    <xf numFmtId="38" fontId="5" fillId="0" borderId="8" xfId="0" applyNumberFormat="1" applyFont="1" applyBorder="1" applyAlignment="1">
      <alignment horizontal="centerContinuous" vertical="center" wrapText="1"/>
    </xf>
    <xf numFmtId="14" fontId="6" fillId="0" borderId="6" xfId="0" applyNumberFormat="1" applyFont="1" applyBorder="1" applyAlignment="1">
      <alignment horizontal="centerContinuous" vertical="center" wrapText="1"/>
    </xf>
    <xf numFmtId="38" fontId="5" fillId="0" borderId="6" xfId="0" applyNumberFormat="1" applyFont="1" applyBorder="1" applyAlignment="1">
      <alignment horizontal="centerContinuous" vertical="center" wrapText="1"/>
    </xf>
    <xf numFmtId="14" fontId="6" fillId="0" borderId="7" xfId="0" applyNumberFormat="1" applyFont="1" applyBorder="1" applyAlignment="1">
      <alignment horizontal="centerContinuous" vertical="center" wrapText="1"/>
    </xf>
    <xf numFmtId="14" fontId="6" fillId="0" borderId="9" xfId="0" applyNumberFormat="1" applyFont="1" applyBorder="1" applyAlignment="1">
      <alignment horizontal="centerContinuous" vertical="center" wrapText="1"/>
    </xf>
    <xf numFmtId="164" fontId="7" fillId="0" borderId="8" xfId="0" applyNumberFormat="1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165" fontId="1" fillId="0" borderId="12" xfId="0" applyNumberFormat="1" applyFont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Continuous" vertical="center" wrapText="1"/>
    </xf>
    <xf numFmtId="166" fontId="1" fillId="0" borderId="12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165" fontId="1" fillId="0" borderId="16" xfId="0" applyNumberFormat="1" applyFont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1" fillId="2" borderId="20" xfId="1" applyFont="1" applyFill="1" applyBorder="1" applyAlignment="1">
      <alignment horizontal="center" vertical="center"/>
    </xf>
    <xf numFmtId="165" fontId="1" fillId="0" borderId="21" xfId="0" applyNumberFormat="1" applyFont="1" applyBorder="1">
      <alignment vertical="center"/>
    </xf>
    <xf numFmtId="0" fontId="1" fillId="2" borderId="21" xfId="0" applyFont="1" applyFill="1" applyBorder="1">
      <alignment vertical="center"/>
    </xf>
    <xf numFmtId="0" fontId="1" fillId="2" borderId="20" xfId="0" applyFont="1" applyFill="1" applyBorder="1">
      <alignment vertical="center"/>
    </xf>
    <xf numFmtId="0" fontId="1" fillId="0" borderId="21" xfId="0" applyFont="1" applyBorder="1">
      <alignment vertical="center"/>
    </xf>
    <xf numFmtId="3" fontId="11" fillId="2" borderId="21" xfId="1" applyNumberFormat="1" applyFont="1" applyFill="1" applyBorder="1" applyAlignment="1">
      <alignment vertical="center"/>
    </xf>
    <xf numFmtId="3" fontId="11" fillId="0" borderId="21" xfId="1" applyNumberFormat="1" applyFont="1" applyBorder="1" applyAlignment="1">
      <alignment vertical="center"/>
    </xf>
    <xf numFmtId="0" fontId="1" fillId="0" borderId="20" xfId="0" applyFont="1" applyBorder="1">
      <alignment vertical="center"/>
    </xf>
    <xf numFmtId="20" fontId="8" fillId="2" borderId="20" xfId="0" applyNumberFormat="1" applyFont="1" applyFill="1" applyBorder="1">
      <alignment vertical="center"/>
    </xf>
    <xf numFmtId="20" fontId="1" fillId="2" borderId="20" xfId="0" applyNumberFormat="1" applyFont="1" applyFill="1" applyBorder="1">
      <alignment vertical="center"/>
    </xf>
    <xf numFmtId="0" fontId="8" fillId="2" borderId="20" xfId="0" applyFont="1" applyFill="1" applyBorder="1">
      <alignment vertical="center"/>
    </xf>
    <xf numFmtId="38" fontId="8" fillId="0" borderId="21" xfId="0" applyNumberFormat="1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5" xfId="0" applyFont="1" applyBorder="1">
      <alignment vertical="center"/>
    </xf>
    <xf numFmtId="3" fontId="11" fillId="2" borderId="25" xfId="1" applyNumberFormat="1" applyFont="1" applyFill="1" applyBorder="1" applyAlignment="1">
      <alignment vertical="center"/>
    </xf>
    <xf numFmtId="3" fontId="11" fillId="0" borderId="25" xfId="1" applyNumberFormat="1" applyFont="1" applyBorder="1" applyAlignment="1">
      <alignment vertical="center"/>
    </xf>
    <xf numFmtId="0" fontId="1" fillId="0" borderId="24" xfId="0" applyFont="1" applyBorder="1">
      <alignment vertical="center"/>
    </xf>
    <xf numFmtId="0" fontId="1" fillId="2" borderId="24" xfId="0" applyFont="1" applyFill="1" applyBorder="1">
      <alignment vertical="center"/>
    </xf>
    <xf numFmtId="38" fontId="8" fillId="0" borderId="25" xfId="0" applyNumberFormat="1" applyFont="1" applyBorder="1">
      <alignment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>
      <alignment vertical="center"/>
    </xf>
  </cellXfs>
  <cellStyles count="2">
    <cellStyle name="Normal" xfId="0" builtinId="0"/>
    <cellStyle name="Normal 2 2 2" xfId="1" xr:uid="{2CDC5F31-4D7D-4D1D-AED6-7C596A0B2300}"/>
  </cellStyles>
  <dxfs count="36"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0000FF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0000FF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0000FF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0000FF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0000FF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0000FF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0000FF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0000FF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0000FF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0000FF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0000FF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0000FF"/>
      </font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onggoi1\Desktop\Copy%20of%20Packing%20Line%20recording%20sample_16.05.2026.xlsx" TargetMode="External"/><Relationship Id="rId1" Type="http://schemas.openxmlformats.org/officeDocument/2006/relationships/externalLinkPath" Target="Copy%20of%20Packing%20Line%20recording%20sample_16.05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M SP"/>
      <sheetName val="DM Po"/>
      <sheetName val="Bảng theo dõi"/>
      <sheetName val="Báo cáo (2)"/>
    </sheetNames>
    <sheetDataSet>
      <sheetData sheetId="0">
        <row r="1">
          <cell r="C1" t="str">
            <v>2</v>
          </cell>
          <cell r="I1" t="str">
            <v>17</v>
          </cell>
        </row>
        <row r="4">
          <cell r="C4" t="str">
            <v>FG No</v>
          </cell>
          <cell r="I4" t="str">
            <v>Ea</v>
          </cell>
        </row>
        <row r="5">
          <cell r="C5" t="str">
            <v>BIC</v>
          </cell>
          <cell r="I5">
            <v>12</v>
          </cell>
        </row>
        <row r="6">
          <cell r="C6" t="str">
            <v>04-0642</v>
          </cell>
        </row>
        <row r="7">
          <cell r="C7" t="str">
            <v>04-0642-E-002</v>
          </cell>
          <cell r="I7">
            <v>38</v>
          </cell>
        </row>
        <row r="8">
          <cell r="C8" t="str">
            <v>04-1421-0-000</v>
          </cell>
          <cell r="I8">
            <v>12</v>
          </cell>
        </row>
        <row r="9">
          <cell r="C9" t="str">
            <v>04-1421-R-000</v>
          </cell>
          <cell r="I9">
            <v>12</v>
          </cell>
        </row>
        <row r="10">
          <cell r="C10" t="str">
            <v>04-1425-C-000</v>
          </cell>
          <cell r="I10">
            <v>12</v>
          </cell>
        </row>
        <row r="11">
          <cell r="C11" t="str">
            <v>041L</v>
          </cell>
          <cell r="I11">
            <v>12</v>
          </cell>
        </row>
        <row r="12">
          <cell r="C12" t="str">
            <v>04-5225-0-005</v>
          </cell>
          <cell r="I12">
            <v>25</v>
          </cell>
        </row>
        <row r="13">
          <cell r="C13" t="str">
            <v>04-5225-A-001</v>
          </cell>
          <cell r="I13">
            <v>25</v>
          </cell>
        </row>
        <row r="14">
          <cell r="C14" t="str">
            <v>04-5563-E-006</v>
          </cell>
          <cell r="I14">
            <v>32</v>
          </cell>
        </row>
        <row r="15">
          <cell r="C15" t="str">
            <v>04-6852-E-001</v>
          </cell>
          <cell r="I15">
            <v>40</v>
          </cell>
        </row>
        <row r="16">
          <cell r="C16" t="str">
            <v>52-0708-0-009</v>
          </cell>
          <cell r="I16">
            <v>8</v>
          </cell>
        </row>
        <row r="17">
          <cell r="C17" t="str">
            <v>52-0712-0-009</v>
          </cell>
          <cell r="I17">
            <v>12</v>
          </cell>
        </row>
        <row r="18">
          <cell r="C18" t="str">
            <v>52-0784-M-008</v>
          </cell>
          <cell r="I18">
            <v>12</v>
          </cell>
        </row>
        <row r="19">
          <cell r="C19" t="str">
            <v>52-1839-A-002</v>
          </cell>
          <cell r="I19">
            <v>12</v>
          </cell>
        </row>
        <row r="20">
          <cell r="C20" t="str">
            <v>52-1839-K-000</v>
          </cell>
          <cell r="I20">
            <v>12</v>
          </cell>
        </row>
        <row r="21">
          <cell r="C21" t="str">
            <v>52-1840-A-000</v>
          </cell>
          <cell r="I21">
            <v>12</v>
          </cell>
        </row>
        <row r="22">
          <cell r="C22" t="str">
            <v>52-3034-E-000</v>
          </cell>
          <cell r="I22">
            <v>10</v>
          </cell>
        </row>
        <row r="23">
          <cell r="C23" t="str">
            <v>52-3420-0-001</v>
          </cell>
          <cell r="I23">
            <v>50</v>
          </cell>
        </row>
        <row r="24">
          <cell r="C24" t="str">
            <v>52-3440</v>
          </cell>
          <cell r="I24">
            <v>10</v>
          </cell>
        </row>
        <row r="25">
          <cell r="C25" t="str">
            <v>52-3440-0-000</v>
          </cell>
          <cell r="I25">
            <v>10</v>
          </cell>
        </row>
        <row r="26">
          <cell r="C26" t="str">
            <v>52-3440-A-000</v>
          </cell>
          <cell r="I26">
            <v>10</v>
          </cell>
        </row>
        <row r="27">
          <cell r="C27" t="str">
            <v>52-3440-E-000</v>
          </cell>
          <cell r="I27">
            <v>10</v>
          </cell>
        </row>
        <row r="28">
          <cell r="C28" t="str">
            <v>52-3470</v>
          </cell>
          <cell r="I28">
            <v>24</v>
          </cell>
        </row>
        <row r="29">
          <cell r="C29" t="str">
            <v>52-3470-A-001</v>
          </cell>
          <cell r="I29">
            <v>24</v>
          </cell>
        </row>
        <row r="30">
          <cell r="C30" t="str">
            <v>52-3470-K-000</v>
          </cell>
          <cell r="I30">
            <v>24</v>
          </cell>
        </row>
        <row r="31">
          <cell r="C31" t="str">
            <v>52-3471-7-101</v>
          </cell>
          <cell r="I31">
            <v>125</v>
          </cell>
        </row>
        <row r="32">
          <cell r="C32" t="str">
            <v>52-3471-7-115</v>
          </cell>
          <cell r="I32">
            <v>125</v>
          </cell>
        </row>
        <row r="33">
          <cell r="C33" t="str">
            <v>52-3471-7-130</v>
          </cell>
          <cell r="I33">
            <v>125</v>
          </cell>
        </row>
        <row r="34">
          <cell r="C34" t="str">
            <v>52-3471-7-906</v>
          </cell>
          <cell r="I34">
            <v>125</v>
          </cell>
        </row>
        <row r="35">
          <cell r="C35" t="str">
            <v>52-3471-7-928</v>
          </cell>
          <cell r="I35">
            <v>125</v>
          </cell>
        </row>
        <row r="36">
          <cell r="C36" t="str">
            <v>52-3471-7-934</v>
          </cell>
          <cell r="I36">
            <v>125</v>
          </cell>
        </row>
        <row r="37">
          <cell r="C37" t="str">
            <v>52-3471-7-936</v>
          </cell>
          <cell r="I37">
            <v>125</v>
          </cell>
        </row>
        <row r="38">
          <cell r="C38" t="str">
            <v>52-3471-7-938</v>
          </cell>
          <cell r="I38">
            <v>125</v>
          </cell>
        </row>
        <row r="39">
          <cell r="C39" t="str">
            <v>52-3471-7-958</v>
          </cell>
          <cell r="I39">
            <v>125</v>
          </cell>
        </row>
        <row r="40">
          <cell r="C40" t="str">
            <v>52-3471-7-959</v>
          </cell>
          <cell r="I40">
            <v>125</v>
          </cell>
        </row>
        <row r="41">
          <cell r="C41" t="str">
            <v>52-3471-7-968</v>
          </cell>
          <cell r="I41">
            <v>125</v>
          </cell>
        </row>
        <row r="42">
          <cell r="C42" t="str">
            <v>52-3471-7-973</v>
          </cell>
          <cell r="I42">
            <v>125</v>
          </cell>
        </row>
        <row r="43">
          <cell r="C43" t="str">
            <v>52-3471-7-976</v>
          </cell>
          <cell r="I43">
            <v>125</v>
          </cell>
        </row>
        <row r="44">
          <cell r="C44" t="str">
            <v>52-3471-7-980</v>
          </cell>
          <cell r="I44">
            <v>125</v>
          </cell>
        </row>
        <row r="45">
          <cell r="C45" t="str">
            <v>52-3471-7-990</v>
          </cell>
          <cell r="I45">
            <v>125</v>
          </cell>
        </row>
        <row r="46">
          <cell r="C46" t="str">
            <v>52-3471-7-996</v>
          </cell>
          <cell r="I46">
            <v>125</v>
          </cell>
        </row>
        <row r="47">
          <cell r="C47" t="str">
            <v>52-3915-A-006</v>
          </cell>
          <cell r="I47">
            <v>10</v>
          </cell>
        </row>
        <row r="48">
          <cell r="C48" t="str">
            <v>52-3917-R-001</v>
          </cell>
          <cell r="I48">
            <v>24</v>
          </cell>
        </row>
        <row r="49">
          <cell r="C49" t="str">
            <v>52-4512-0-002</v>
          </cell>
          <cell r="I49">
            <v>12</v>
          </cell>
        </row>
        <row r="50">
          <cell r="C50" t="str">
            <v>52-5724-0-002</v>
          </cell>
          <cell r="I50">
            <v>24</v>
          </cell>
        </row>
        <row r="51">
          <cell r="C51" t="str">
            <v>52-5834-0-000</v>
          </cell>
          <cell r="I51">
            <v>24</v>
          </cell>
        </row>
        <row r="52">
          <cell r="C52" t="str">
            <v>52-7250</v>
          </cell>
          <cell r="I52">
            <v>240</v>
          </cell>
        </row>
        <row r="53">
          <cell r="C53" t="str">
            <v>52-7408-0-009</v>
          </cell>
          <cell r="I53">
            <v>12</v>
          </cell>
        </row>
        <row r="54">
          <cell r="C54" t="str">
            <v>52-7412-K-000</v>
          </cell>
          <cell r="I54">
            <v>12</v>
          </cell>
        </row>
        <row r="55">
          <cell r="C55" t="str">
            <v>52-7412</v>
          </cell>
          <cell r="I55">
            <v>12</v>
          </cell>
        </row>
        <row r="56">
          <cell r="C56" t="str">
            <v>52-7434</v>
          </cell>
          <cell r="I56">
            <v>32</v>
          </cell>
        </row>
        <row r="57">
          <cell r="C57" t="str">
            <v>52-8264-0-003</v>
          </cell>
          <cell r="I57">
            <v>12</v>
          </cell>
        </row>
        <row r="58">
          <cell r="C58" t="str">
            <v>52-8265-0-003</v>
          </cell>
          <cell r="I58">
            <v>24</v>
          </cell>
        </row>
        <row r="59">
          <cell r="C59" t="str">
            <v>52-8501</v>
          </cell>
          <cell r="I59">
            <v>24</v>
          </cell>
        </row>
        <row r="60">
          <cell r="C60" t="str">
            <v>52-8501-E-005</v>
          </cell>
          <cell r="I60">
            <v>24</v>
          </cell>
        </row>
        <row r="61">
          <cell r="C61" t="str">
            <v>52-8530-E-007</v>
          </cell>
          <cell r="I61">
            <v>12</v>
          </cell>
        </row>
        <row r="62">
          <cell r="C62" t="str">
            <v>52-8531-E-004</v>
          </cell>
          <cell r="I62">
            <v>12</v>
          </cell>
        </row>
        <row r="63">
          <cell r="C63" t="str">
            <v>52-8831-A-000</v>
          </cell>
          <cell r="I63">
            <v>10</v>
          </cell>
        </row>
        <row r="64">
          <cell r="C64" t="str">
            <v>52-8831-A-001</v>
          </cell>
          <cell r="I64">
            <v>10</v>
          </cell>
        </row>
        <row r="65">
          <cell r="C65" t="str">
            <v>52-9612</v>
          </cell>
          <cell r="I65">
            <v>12</v>
          </cell>
        </row>
        <row r="66">
          <cell r="C66" t="str">
            <v>52-9621-E-003</v>
          </cell>
          <cell r="I66">
            <v>21</v>
          </cell>
        </row>
        <row r="67">
          <cell r="C67" t="str">
            <v>52-9652-E-003</v>
          </cell>
          <cell r="I67">
            <v>52</v>
          </cell>
        </row>
        <row r="68">
          <cell r="C68" t="str">
            <v>52-9701</v>
          </cell>
          <cell r="I68">
            <v>16</v>
          </cell>
        </row>
        <row r="69">
          <cell r="C69" t="str">
            <v>52-9712</v>
          </cell>
          <cell r="I69">
            <v>12</v>
          </cell>
        </row>
        <row r="70">
          <cell r="C70" t="str">
            <v>52-9712-E-005</v>
          </cell>
          <cell r="I70">
            <v>12</v>
          </cell>
        </row>
        <row r="71">
          <cell r="C71" t="str">
            <v>52-9715-0-006</v>
          </cell>
          <cell r="I71">
            <v>10</v>
          </cell>
        </row>
        <row r="72">
          <cell r="C72" t="str">
            <v>52-9715-R-000</v>
          </cell>
          <cell r="I72">
            <v>10</v>
          </cell>
        </row>
        <row r="73">
          <cell r="C73" t="str">
            <v>52-9724</v>
          </cell>
          <cell r="I73">
            <v>24</v>
          </cell>
        </row>
        <row r="74">
          <cell r="C74" t="str">
            <v>52-9724-0-002</v>
          </cell>
          <cell r="I74">
            <v>24</v>
          </cell>
        </row>
        <row r="75">
          <cell r="C75" t="str">
            <v>52-9724-1-005</v>
          </cell>
          <cell r="I75">
            <v>24</v>
          </cell>
        </row>
        <row r="76">
          <cell r="C76" t="str">
            <v>52-9724-1-008</v>
          </cell>
          <cell r="I76">
            <v>24</v>
          </cell>
        </row>
        <row r="77">
          <cell r="C77" t="str">
            <v>52-9724-7-934</v>
          </cell>
          <cell r="I77">
            <v>125</v>
          </cell>
        </row>
        <row r="78">
          <cell r="C78" t="str">
            <v>52-9724-7-937</v>
          </cell>
          <cell r="I78">
            <v>125</v>
          </cell>
        </row>
        <row r="79">
          <cell r="C79" t="str">
            <v>52-9724-7-938</v>
          </cell>
          <cell r="I79">
            <v>125</v>
          </cell>
        </row>
        <row r="80">
          <cell r="C80" t="str">
            <v>52-9724-7-945</v>
          </cell>
          <cell r="I80">
            <v>125</v>
          </cell>
        </row>
        <row r="81">
          <cell r="C81" t="str">
            <v>52-9724-7-960</v>
          </cell>
          <cell r="I81">
            <v>125</v>
          </cell>
        </row>
        <row r="82">
          <cell r="C82" t="str">
            <v>52-9724-7-981</v>
          </cell>
          <cell r="I82">
            <v>125</v>
          </cell>
        </row>
        <row r="83">
          <cell r="C83" t="str">
            <v>52-9724-A-000</v>
          </cell>
          <cell r="I83">
            <v>24</v>
          </cell>
        </row>
        <row r="84">
          <cell r="C84" t="str">
            <v>52-9724-L-002</v>
          </cell>
          <cell r="I84">
            <v>24</v>
          </cell>
        </row>
        <row r="85">
          <cell r="C85" t="str">
            <v>52-9738-0-003</v>
          </cell>
          <cell r="I85">
            <v>8</v>
          </cell>
        </row>
        <row r="86">
          <cell r="C86" t="str">
            <v>52-9745-E-000</v>
          </cell>
          <cell r="I86">
            <v>10</v>
          </cell>
        </row>
        <row r="87">
          <cell r="C87" t="str">
            <v>52-9824-0-006</v>
          </cell>
          <cell r="I87">
            <v>24</v>
          </cell>
        </row>
        <row r="88">
          <cell r="C88" t="str">
            <v>52-9824-E-004</v>
          </cell>
          <cell r="I88">
            <v>24</v>
          </cell>
        </row>
        <row r="89">
          <cell r="C89" t="str">
            <v>52-9830-E-000</v>
          </cell>
          <cell r="I89">
            <v>24</v>
          </cell>
        </row>
        <row r="90">
          <cell r="C90" t="str">
            <v>68-0400-1-007</v>
          </cell>
          <cell r="I90">
            <v>125</v>
          </cell>
        </row>
        <row r="91">
          <cell r="C91" t="str">
            <v>68-0400-1-034</v>
          </cell>
          <cell r="I91">
            <v>125</v>
          </cell>
        </row>
        <row r="92">
          <cell r="C92" t="str">
            <v>68-0400-1-036</v>
          </cell>
          <cell r="I92">
            <v>125</v>
          </cell>
        </row>
        <row r="93">
          <cell r="C93" t="str">
            <v>68-0400-1-037</v>
          </cell>
          <cell r="I93">
            <v>125</v>
          </cell>
        </row>
        <row r="94">
          <cell r="C94" t="str">
            <v>68-0400-1-038</v>
          </cell>
          <cell r="I94">
            <v>125</v>
          </cell>
        </row>
        <row r="95">
          <cell r="C95" t="str">
            <v>68-0400-1-040</v>
          </cell>
          <cell r="I95">
            <v>125</v>
          </cell>
        </row>
        <row r="96">
          <cell r="C96" t="str">
            <v>68-0400-1-042</v>
          </cell>
          <cell r="I96">
            <v>125</v>
          </cell>
        </row>
        <row r="97">
          <cell r="C97" t="str">
            <v>68-0400-1-044</v>
          </cell>
          <cell r="I97">
            <v>125</v>
          </cell>
        </row>
        <row r="98">
          <cell r="C98" t="str">
            <v>68-0400-1-045</v>
          </cell>
          <cell r="I98">
            <v>125</v>
          </cell>
        </row>
        <row r="99">
          <cell r="C99" t="str">
            <v>68-0400-1-051</v>
          </cell>
          <cell r="I99">
            <v>125</v>
          </cell>
        </row>
        <row r="100">
          <cell r="C100" t="str">
            <v>68-0400-1-074</v>
          </cell>
          <cell r="I100">
            <v>125</v>
          </cell>
        </row>
        <row r="101">
          <cell r="C101" t="str">
            <v>68-2426-A-000</v>
          </cell>
          <cell r="I101">
            <v>16</v>
          </cell>
        </row>
        <row r="102">
          <cell r="C102" t="str">
            <v>68-2451-0-000</v>
          </cell>
          <cell r="I102">
            <v>12</v>
          </cell>
        </row>
        <row r="103">
          <cell r="C103" t="str">
            <v>68-2452-A-002</v>
          </cell>
          <cell r="I103">
            <v>12</v>
          </cell>
        </row>
        <row r="104">
          <cell r="C104" t="str">
            <v>68-5079-A-004</v>
          </cell>
          <cell r="I104">
            <v>12</v>
          </cell>
        </row>
        <row r="105">
          <cell r="C105" t="str">
            <v>68-5083-A-008</v>
          </cell>
          <cell r="I105">
            <v>30</v>
          </cell>
        </row>
        <row r="106">
          <cell r="C106" t="str">
            <v>68-7404-E-002</v>
          </cell>
          <cell r="I106">
            <v>12</v>
          </cell>
        </row>
        <row r="107">
          <cell r="C107" t="str">
            <v>68-7406</v>
          </cell>
          <cell r="I107">
            <v>50</v>
          </cell>
        </row>
        <row r="108">
          <cell r="C108" t="str">
            <v>68-7406-0-002</v>
          </cell>
          <cell r="I108">
            <v>50</v>
          </cell>
        </row>
        <row r="109">
          <cell r="C109" t="str">
            <v>68-7408</v>
          </cell>
          <cell r="I109">
            <v>12</v>
          </cell>
        </row>
        <row r="110">
          <cell r="C110" t="str">
            <v>68-7408-0-013</v>
          </cell>
          <cell r="I110">
            <v>12</v>
          </cell>
        </row>
        <row r="111">
          <cell r="C111" t="str">
            <v>68-7408-A-000</v>
          </cell>
          <cell r="I111">
            <v>12</v>
          </cell>
        </row>
        <row r="112">
          <cell r="C112" t="str">
            <v>68-7408-M-010</v>
          </cell>
          <cell r="I112">
            <v>12</v>
          </cell>
        </row>
        <row r="113">
          <cell r="C113" t="str">
            <v>68-7409-A-013</v>
          </cell>
          <cell r="I113">
            <v>30</v>
          </cell>
        </row>
        <row r="114">
          <cell r="C114" t="str">
            <v>68-7409-A-015</v>
          </cell>
          <cell r="I114">
            <v>30</v>
          </cell>
        </row>
        <row r="115">
          <cell r="C115" t="str">
            <v>68-7409-A-016</v>
          </cell>
          <cell r="I115">
            <v>30</v>
          </cell>
        </row>
        <row r="116">
          <cell r="C116" t="str">
            <v>68-7409-L-002</v>
          </cell>
          <cell r="I116">
            <v>30</v>
          </cell>
        </row>
        <row r="117">
          <cell r="C117" t="str">
            <v>68-7409-L-004</v>
          </cell>
          <cell r="I117">
            <v>30</v>
          </cell>
        </row>
        <row r="118">
          <cell r="C118" t="str">
            <v>68-7415-E-005</v>
          </cell>
          <cell r="I118">
            <v>10</v>
          </cell>
        </row>
        <row r="119">
          <cell r="C119" t="str">
            <v>68-7418-0-012</v>
          </cell>
          <cell r="I119">
            <v>18</v>
          </cell>
        </row>
        <row r="120">
          <cell r="C120" t="str">
            <v>68-7418-A-001</v>
          </cell>
          <cell r="I120">
            <v>18</v>
          </cell>
        </row>
        <row r="121">
          <cell r="C121" t="str">
            <v>68-7418-L-002</v>
          </cell>
          <cell r="I121">
            <v>18</v>
          </cell>
        </row>
        <row r="122">
          <cell r="C122" t="str">
            <v>68-7420-E-000</v>
          </cell>
          <cell r="I122">
            <v>10</v>
          </cell>
        </row>
        <row r="123">
          <cell r="C123" t="str">
            <v>68-7424-M-009</v>
          </cell>
          <cell r="I123">
            <v>24</v>
          </cell>
        </row>
        <row r="124">
          <cell r="C124" t="str">
            <v>68-7503-0-001</v>
          </cell>
          <cell r="I124">
            <v>30</v>
          </cell>
        </row>
        <row r="125">
          <cell r="C125" t="str">
            <v>68-7503-E-002</v>
          </cell>
          <cell r="I125">
            <v>3</v>
          </cell>
        </row>
        <row r="126">
          <cell r="C126" t="str">
            <v>68-7524-0-003</v>
          </cell>
          <cell r="I126">
            <v>24</v>
          </cell>
        </row>
        <row r="127">
          <cell r="C127" t="str">
            <v>68-8269-0-003</v>
          </cell>
          <cell r="I127">
            <v>12</v>
          </cell>
        </row>
        <row r="128">
          <cell r="C128" t="str">
            <v>68-8310-0-001</v>
          </cell>
          <cell r="I128">
            <v>12</v>
          </cell>
        </row>
        <row r="129">
          <cell r="C129" t="str">
            <v>BIC</v>
          </cell>
          <cell r="I129">
            <v>12</v>
          </cell>
        </row>
        <row r="130">
          <cell r="C130" t="str">
            <v>BNM</v>
          </cell>
          <cell r="I130">
            <v>12</v>
          </cell>
        </row>
        <row r="131">
          <cell r="C131" t="str">
            <v>BSK12</v>
          </cell>
          <cell r="I131">
            <v>12</v>
          </cell>
        </row>
        <row r="132">
          <cell r="C132" t="str">
            <v>CASA</v>
          </cell>
          <cell r="I132">
            <v>12</v>
          </cell>
        </row>
        <row r="133">
          <cell r="C133" t="str">
            <v>CM12BK</v>
          </cell>
          <cell r="I133">
            <v>12</v>
          </cell>
        </row>
        <row r="134">
          <cell r="C134" t="str">
            <v>CM12BL</v>
          </cell>
          <cell r="I134">
            <v>12</v>
          </cell>
        </row>
        <row r="135">
          <cell r="C135" t="str">
            <v>CM12GR</v>
          </cell>
          <cell r="I135">
            <v>12</v>
          </cell>
        </row>
        <row r="136">
          <cell r="C136" t="str">
            <v>CM12RD</v>
          </cell>
          <cell r="I136">
            <v>12</v>
          </cell>
        </row>
        <row r="137">
          <cell r="C137" t="str">
            <v>CM12WH</v>
          </cell>
          <cell r="I137">
            <v>12</v>
          </cell>
        </row>
        <row r="138">
          <cell r="C138" t="str">
            <v>CM12YL</v>
          </cell>
          <cell r="I138">
            <v>12</v>
          </cell>
        </row>
        <row r="139">
          <cell r="C139" t="str">
            <v>GRACIA</v>
          </cell>
          <cell r="I139">
            <v>12</v>
          </cell>
        </row>
        <row r="140">
          <cell r="C140" t="str">
            <v>HP</v>
          </cell>
          <cell r="I140">
            <v>200</v>
          </cell>
        </row>
        <row r="141">
          <cell r="C141" t="str">
            <v>JKO</v>
          </cell>
          <cell r="I141">
            <v>12</v>
          </cell>
        </row>
        <row r="142">
          <cell r="C142" t="str">
            <v>MBP</v>
          </cell>
          <cell r="I142">
            <v>125</v>
          </cell>
        </row>
        <row r="143">
          <cell r="C143" t="str">
            <v>NEXX</v>
          </cell>
          <cell r="I143">
            <v>12</v>
          </cell>
        </row>
        <row r="144">
          <cell r="C144" t="str">
            <v>PANDA12</v>
          </cell>
          <cell r="I144">
            <v>130</v>
          </cell>
        </row>
        <row r="145">
          <cell r="C145" t="str">
            <v>PBP</v>
          </cell>
          <cell r="I145">
            <v>125</v>
          </cell>
        </row>
        <row r="146">
          <cell r="C146" t="str">
            <v>PC000</v>
          </cell>
          <cell r="I146">
            <v>12</v>
          </cell>
        </row>
        <row r="147">
          <cell r="C147" t="str">
            <v>PC001</v>
          </cell>
          <cell r="I147">
            <v>12</v>
          </cell>
        </row>
        <row r="148">
          <cell r="C148" t="str">
            <v>PC002</v>
          </cell>
          <cell r="I148">
            <v>12</v>
          </cell>
        </row>
        <row r="149">
          <cell r="C149" t="str">
            <v>PC003</v>
          </cell>
          <cell r="I149">
            <v>12</v>
          </cell>
        </row>
        <row r="150">
          <cell r="C150" t="str">
            <v>PC004</v>
          </cell>
          <cell r="I150">
            <v>12</v>
          </cell>
        </row>
        <row r="151">
          <cell r="C151" t="str">
            <v>PC005</v>
          </cell>
          <cell r="I151">
            <v>12</v>
          </cell>
        </row>
        <row r="152">
          <cell r="C152" t="str">
            <v>PC006</v>
          </cell>
          <cell r="I152">
            <v>12</v>
          </cell>
        </row>
        <row r="153">
          <cell r="C153" t="str">
            <v>PC007</v>
          </cell>
          <cell r="I153">
            <v>12</v>
          </cell>
        </row>
        <row r="154">
          <cell r="C154" t="str">
            <v>PC008</v>
          </cell>
          <cell r="I154">
            <v>12</v>
          </cell>
        </row>
        <row r="155">
          <cell r="C155" t="str">
            <v>PC009</v>
          </cell>
          <cell r="I155">
            <v>12</v>
          </cell>
        </row>
        <row r="156">
          <cell r="C156" t="str">
            <v>PC010</v>
          </cell>
          <cell r="I156">
            <v>12</v>
          </cell>
        </row>
        <row r="157">
          <cell r="C157" t="str">
            <v>PC011</v>
          </cell>
          <cell r="I157">
            <v>12</v>
          </cell>
        </row>
        <row r="158">
          <cell r="C158" t="str">
            <v>PC012</v>
          </cell>
          <cell r="I158">
            <v>12</v>
          </cell>
        </row>
        <row r="159">
          <cell r="C159" t="str">
            <v>PC013</v>
          </cell>
          <cell r="I159">
            <v>12</v>
          </cell>
        </row>
        <row r="160">
          <cell r="C160" t="str">
            <v>PC014</v>
          </cell>
          <cell r="I160">
            <v>12</v>
          </cell>
        </row>
        <row r="161">
          <cell r="C161" t="str">
            <v>PC015</v>
          </cell>
          <cell r="I161">
            <v>12</v>
          </cell>
        </row>
        <row r="162">
          <cell r="C162" t="str">
            <v>PC016</v>
          </cell>
          <cell r="I162">
            <v>12</v>
          </cell>
        </row>
        <row r="163">
          <cell r="C163" t="str">
            <v>PC017</v>
          </cell>
          <cell r="I163">
            <v>12</v>
          </cell>
        </row>
        <row r="164">
          <cell r="C164" t="str">
            <v>PDAPR</v>
          </cell>
          <cell r="I164">
            <v>150</v>
          </cell>
        </row>
        <row r="165">
          <cell r="C165" t="str">
            <v>PDBK</v>
          </cell>
          <cell r="I165">
            <v>150</v>
          </cell>
        </row>
        <row r="166">
          <cell r="C166" t="str">
            <v>PDBLU</v>
          </cell>
          <cell r="I166">
            <v>150</v>
          </cell>
        </row>
        <row r="167">
          <cell r="C167" t="str">
            <v>PDBRW</v>
          </cell>
          <cell r="I167">
            <v>150</v>
          </cell>
        </row>
        <row r="168">
          <cell r="C168" t="str">
            <v>PDGRE</v>
          </cell>
          <cell r="I168">
            <v>150</v>
          </cell>
        </row>
        <row r="169">
          <cell r="C169" t="str">
            <v>PDOR</v>
          </cell>
          <cell r="I169">
            <v>150</v>
          </cell>
        </row>
        <row r="170">
          <cell r="C170" t="str">
            <v>PDPK</v>
          </cell>
          <cell r="I170">
            <v>150</v>
          </cell>
        </row>
        <row r="171">
          <cell r="C171" t="str">
            <v>PDRD</v>
          </cell>
          <cell r="I171">
            <v>150</v>
          </cell>
        </row>
        <row r="172">
          <cell r="C172" t="str">
            <v>PDSBL</v>
          </cell>
          <cell r="I172">
            <v>150</v>
          </cell>
        </row>
        <row r="173">
          <cell r="C173" t="str">
            <v>PDVIO</v>
          </cell>
          <cell r="I173">
            <v>150</v>
          </cell>
        </row>
        <row r="174">
          <cell r="C174" t="str">
            <v>PDYG</v>
          </cell>
          <cell r="I174">
            <v>150</v>
          </cell>
        </row>
        <row r="175">
          <cell r="C175" t="str">
            <v>PDYL</v>
          </cell>
          <cell r="I175">
            <v>150</v>
          </cell>
        </row>
        <row r="176">
          <cell r="C176" t="str">
            <v>PKO</v>
          </cell>
          <cell r="I176">
            <v>12</v>
          </cell>
        </row>
        <row r="177">
          <cell r="C177" t="str">
            <v>RBP</v>
          </cell>
          <cell r="I177">
            <v>120</v>
          </cell>
        </row>
        <row r="178">
          <cell r="C178" t="str">
            <v>RC12PST-1</v>
          </cell>
          <cell r="I178">
            <v>12</v>
          </cell>
        </row>
        <row r="179">
          <cell r="C179" t="str">
            <v>52-4826-K-000</v>
          </cell>
          <cell r="I179">
            <v>12</v>
          </cell>
        </row>
        <row r="180">
          <cell r="C180" t="str">
            <v>52-4827-K-000</v>
          </cell>
          <cell r="I180">
            <v>12</v>
          </cell>
        </row>
        <row r="181">
          <cell r="C181" t="str">
            <v>52-4828-K-000</v>
          </cell>
          <cell r="I181">
            <v>24</v>
          </cell>
        </row>
        <row r="182">
          <cell r="C182" t="str">
            <v>52-9701-K-000</v>
          </cell>
          <cell r="I182">
            <v>16</v>
          </cell>
        </row>
        <row r="183">
          <cell r="C183" t="str">
            <v>52-4825-K-000</v>
          </cell>
          <cell r="I183">
            <v>16</v>
          </cell>
        </row>
        <row r="184">
          <cell r="C184" t="str">
            <v>52-9724-C-000</v>
          </cell>
          <cell r="I184">
            <v>24</v>
          </cell>
        </row>
      </sheetData>
      <sheetData sheetId="1">
        <row r="2">
          <cell r="D2" t="str">
            <v>PO No</v>
          </cell>
          <cell r="E2" t="str">
            <v>Item code</v>
          </cell>
          <cell r="G2" t="str">
            <v>Descriptin</v>
          </cell>
        </row>
        <row r="3">
          <cell r="J3" t="str">
            <v>Set</v>
          </cell>
        </row>
        <row r="4">
          <cell r="D4">
            <v>64183</v>
          </cell>
          <cell r="E4" t="str">
            <v>04-1425-C-000</v>
          </cell>
          <cell r="F4" t="str">
            <v>0414210300</v>
          </cell>
          <cell r="G4" t="str">
            <v>Click Carrying Case, 7pk</v>
          </cell>
          <cell r="J4">
            <v>10080</v>
          </cell>
        </row>
        <row r="5">
          <cell r="D5">
            <v>26103201</v>
          </cell>
          <cell r="E5" t="str">
            <v>BIC</v>
          </cell>
          <cell r="F5" t="str">
            <v>BIC</v>
          </cell>
          <cell r="G5" t="str">
            <v>Bic 8805085</v>
          </cell>
          <cell r="J5">
            <v>46200</v>
          </cell>
        </row>
        <row r="6">
          <cell r="D6">
            <v>4700025186</v>
          </cell>
          <cell r="E6" t="str">
            <v>68-7409-L-002</v>
          </cell>
          <cell r="F6">
            <v>6874090215</v>
          </cell>
          <cell r="G6" t="str">
            <v>30ct Pencil - Target</v>
          </cell>
          <cell r="J6">
            <v>10272</v>
          </cell>
        </row>
        <row r="7">
          <cell r="D7">
            <v>4700025215</v>
          </cell>
          <cell r="E7" t="str">
            <v>68-7409-L-004</v>
          </cell>
          <cell r="F7">
            <v>6874090218</v>
          </cell>
          <cell r="G7" t="str">
            <v>30ct Pencil - WMT RFID</v>
          </cell>
          <cell r="J7">
            <v>19560</v>
          </cell>
        </row>
        <row r="8">
          <cell r="D8">
            <v>4700025216</v>
          </cell>
          <cell r="E8" t="str">
            <v>68-7409-L-004</v>
          </cell>
          <cell r="F8">
            <v>6874090218</v>
          </cell>
          <cell r="G8" t="str">
            <v>30ct Pencil - WMT RFID</v>
          </cell>
          <cell r="J8">
            <v>11736</v>
          </cell>
        </row>
        <row r="9">
          <cell r="D9">
            <v>4700025217</v>
          </cell>
          <cell r="E9" t="str">
            <v>68-7409-L-004</v>
          </cell>
          <cell r="F9">
            <v>6874090218</v>
          </cell>
          <cell r="G9" t="str">
            <v>30ct Pencil - WMT RFID</v>
          </cell>
          <cell r="J9">
            <v>7824</v>
          </cell>
        </row>
        <row r="10">
          <cell r="D10">
            <v>4700025218</v>
          </cell>
          <cell r="E10" t="str">
            <v>68-7409-L-004</v>
          </cell>
          <cell r="F10">
            <v>6874090218</v>
          </cell>
          <cell r="G10" t="str">
            <v>30ct Pencil - WMT RFID</v>
          </cell>
          <cell r="J10">
            <v>19560</v>
          </cell>
        </row>
        <row r="11">
          <cell r="D11">
            <v>4700025219</v>
          </cell>
          <cell r="E11" t="str">
            <v>68-7409-L-004</v>
          </cell>
          <cell r="F11">
            <v>6874090218</v>
          </cell>
          <cell r="G11" t="str">
            <v>30ct Pencil - WMT RFID</v>
          </cell>
          <cell r="J11">
            <v>7824</v>
          </cell>
        </row>
        <row r="12">
          <cell r="D12">
            <v>4700025220</v>
          </cell>
          <cell r="E12" t="str">
            <v>68-7409-L-004</v>
          </cell>
          <cell r="F12">
            <v>6874090218</v>
          </cell>
          <cell r="G12" t="str">
            <v>30ct Pencil - WMT RFID</v>
          </cell>
          <cell r="J12">
            <v>11736</v>
          </cell>
        </row>
        <row r="13">
          <cell r="D13">
            <v>4700025221</v>
          </cell>
          <cell r="E13" t="str">
            <v>68-7409-L-004</v>
          </cell>
          <cell r="F13">
            <v>6874090218</v>
          </cell>
          <cell r="G13" t="str">
            <v>30ct Pencil - WMT RFID</v>
          </cell>
          <cell r="J13">
            <v>7824</v>
          </cell>
        </row>
        <row r="14">
          <cell r="D14">
            <v>4700025277</v>
          </cell>
          <cell r="E14" t="str">
            <v>68-7409-L-002</v>
          </cell>
          <cell r="F14">
            <v>6874090215</v>
          </cell>
          <cell r="G14" t="str">
            <v>30ct Pencil - Target</v>
          </cell>
          <cell r="J14">
            <v>10272</v>
          </cell>
        </row>
        <row r="15">
          <cell r="D15">
            <v>4700025321</v>
          </cell>
          <cell r="E15" t="str">
            <v>68-7409-L-002</v>
          </cell>
          <cell r="F15">
            <v>6874090215</v>
          </cell>
          <cell r="G15" t="str">
            <v>30ct Pencil - Target</v>
          </cell>
          <cell r="J15">
            <v>10272</v>
          </cell>
        </row>
        <row r="16">
          <cell r="D16">
            <v>4700025322</v>
          </cell>
          <cell r="E16" t="str">
            <v>68-7409-L-002</v>
          </cell>
          <cell r="F16">
            <v>6874090215</v>
          </cell>
          <cell r="G16" t="str">
            <v>30ct Pencil - Target</v>
          </cell>
          <cell r="J16">
            <v>10272</v>
          </cell>
        </row>
        <row r="17">
          <cell r="D17">
            <v>4700025373</v>
          </cell>
          <cell r="E17" t="str">
            <v>68-7418-L-002</v>
          </cell>
          <cell r="F17">
            <v>6874180205</v>
          </cell>
          <cell r="G17" t="str">
            <v>18ct Pencil - Target</v>
          </cell>
          <cell r="J17">
            <v>1908</v>
          </cell>
        </row>
        <row r="18">
          <cell r="D18">
            <v>4700025413</v>
          </cell>
          <cell r="E18" t="str">
            <v>68-7409-L-004</v>
          </cell>
          <cell r="F18">
            <v>6874090218</v>
          </cell>
          <cell r="G18" t="str">
            <v>30ct Pencil - WMT RFID</v>
          </cell>
          <cell r="J18">
            <v>23472</v>
          </cell>
        </row>
        <row r="19">
          <cell r="D19">
            <v>4700025414</v>
          </cell>
          <cell r="E19" t="str">
            <v>68-7409-L-004</v>
          </cell>
          <cell r="F19">
            <v>6874090218</v>
          </cell>
          <cell r="G19" t="str">
            <v>30ct Pencil - WMT RFID</v>
          </cell>
          <cell r="J19">
            <v>15648</v>
          </cell>
        </row>
        <row r="20">
          <cell r="D20">
            <v>4700025415</v>
          </cell>
          <cell r="E20" t="str">
            <v>68-7409-L-004</v>
          </cell>
          <cell r="F20">
            <v>6874090218</v>
          </cell>
          <cell r="G20" t="str">
            <v>30ct Pencil - WMT RFID</v>
          </cell>
          <cell r="J20">
            <v>15648</v>
          </cell>
        </row>
        <row r="21">
          <cell r="D21">
            <v>4700025416</v>
          </cell>
          <cell r="E21" t="str">
            <v>68-7409-L-004</v>
          </cell>
          <cell r="F21">
            <v>6874090218</v>
          </cell>
          <cell r="G21" t="str">
            <v>30ct Pencil - WMT RFID</v>
          </cell>
          <cell r="J21">
            <v>15648</v>
          </cell>
        </row>
        <row r="22">
          <cell r="D22">
            <v>4700025417</v>
          </cell>
          <cell r="E22" t="str">
            <v>68-7409-L-004</v>
          </cell>
          <cell r="F22">
            <v>6874090218</v>
          </cell>
          <cell r="G22" t="str">
            <v>30ct Pencil - WMT RFID</v>
          </cell>
          <cell r="J22">
            <v>15648</v>
          </cell>
        </row>
        <row r="23">
          <cell r="D23">
            <v>4700025418</v>
          </cell>
          <cell r="E23" t="str">
            <v>68-7409-L-004</v>
          </cell>
          <cell r="F23">
            <v>6874090218</v>
          </cell>
          <cell r="G23" t="str">
            <v>30ct Pencil - WMT RFID</v>
          </cell>
          <cell r="J23">
            <v>19560</v>
          </cell>
        </row>
        <row r="24">
          <cell r="D24">
            <v>4700025419</v>
          </cell>
          <cell r="E24" t="str">
            <v>68-7409-L-004</v>
          </cell>
          <cell r="F24">
            <v>6874090218</v>
          </cell>
          <cell r="G24" t="str">
            <v>30ct Pencil - WMT RFID</v>
          </cell>
          <cell r="J24">
            <v>15648</v>
          </cell>
        </row>
        <row r="25">
          <cell r="D25">
            <v>5100348232</v>
          </cell>
          <cell r="E25" t="str">
            <v>68-2452-A-002</v>
          </cell>
          <cell r="F25">
            <v>6824510200</v>
          </cell>
          <cell r="G25" t="str">
            <v>12ct Pencil Bold/Bright - RRP 26</v>
          </cell>
          <cell r="J25">
            <v>10800</v>
          </cell>
        </row>
        <row r="26">
          <cell r="D26">
            <v>5100349320</v>
          </cell>
          <cell r="E26" t="str">
            <v>68-2451-0-000</v>
          </cell>
          <cell r="F26">
            <v>6824510200</v>
          </cell>
          <cell r="G26" t="str">
            <v>12ct Pencil Bold/Bright</v>
          </cell>
          <cell r="J26">
            <v>19200</v>
          </cell>
        </row>
        <row r="27">
          <cell r="D27">
            <v>5100349433</v>
          </cell>
          <cell r="E27" t="str">
            <v>68-7409-A-015</v>
          </cell>
          <cell r="F27">
            <v>6874090219</v>
          </cell>
          <cell r="G27" t="str">
            <v>30ct Stay Active Pencil - USA</v>
          </cell>
          <cell r="J27">
            <v>11424</v>
          </cell>
        </row>
        <row r="28">
          <cell r="D28">
            <v>5100349434</v>
          </cell>
          <cell r="E28" t="str">
            <v>68-7409-A-016</v>
          </cell>
          <cell r="F28">
            <v>6874090220</v>
          </cell>
          <cell r="G28" t="str">
            <v>30ct Stay Active Pencil - RFID</v>
          </cell>
          <cell r="J28">
            <v>31008</v>
          </cell>
        </row>
        <row r="29">
          <cell r="D29">
            <v>5100349435</v>
          </cell>
          <cell r="E29" t="str">
            <v>68-7409-A-016</v>
          </cell>
          <cell r="F29">
            <v>6874090220</v>
          </cell>
          <cell r="G29" t="str">
            <v>30ct Stay Active Pencil - RFID</v>
          </cell>
          <cell r="J29">
            <v>31008</v>
          </cell>
        </row>
        <row r="30">
          <cell r="D30">
            <v>5100349436</v>
          </cell>
          <cell r="E30" t="str">
            <v>04-5225-A-001</v>
          </cell>
          <cell r="F30" t="str">
            <v>045225R300</v>
          </cell>
          <cell r="G30" t="str">
            <v>65ct Giftables Storage Set - RFID</v>
          </cell>
          <cell r="J30">
            <v>24624</v>
          </cell>
        </row>
        <row r="31">
          <cell r="D31">
            <v>5100349437</v>
          </cell>
          <cell r="E31" t="str">
            <v>04-5225-A-001</v>
          </cell>
          <cell r="F31" t="str">
            <v>045225R300</v>
          </cell>
          <cell r="G31" t="str">
            <v>65ct Giftables Storage Set - RFID</v>
          </cell>
          <cell r="J31">
            <v>24624</v>
          </cell>
        </row>
        <row r="32">
          <cell r="D32">
            <v>5100349460</v>
          </cell>
          <cell r="E32" t="str">
            <v>52-9715-R-000</v>
          </cell>
          <cell r="F32" t="str">
            <v>529715R200</v>
          </cell>
          <cell r="G32" t="str">
            <v>10ct Mini - RFID</v>
          </cell>
          <cell r="J32">
            <v>20160</v>
          </cell>
        </row>
        <row r="33">
          <cell r="D33">
            <v>5100349461</v>
          </cell>
          <cell r="E33" t="str">
            <v>52-1840-A-000</v>
          </cell>
          <cell r="F33">
            <v>5218390201</v>
          </cell>
          <cell r="G33" t="str">
            <v>12ct Mini Smash Up - Dollar Tree</v>
          </cell>
          <cell r="J33">
            <v>25200</v>
          </cell>
        </row>
        <row r="34">
          <cell r="D34">
            <v>5100349462</v>
          </cell>
          <cell r="E34" t="str">
            <v>52-1840-A-000</v>
          </cell>
          <cell r="F34">
            <v>5218390201</v>
          </cell>
          <cell r="G34" t="str">
            <v>12ct Mini Smash Up - Dollar Tree</v>
          </cell>
          <cell r="J34">
            <v>27048</v>
          </cell>
        </row>
        <row r="35">
          <cell r="D35">
            <v>5100349464</v>
          </cell>
          <cell r="E35" t="str">
            <v>52-9724-1-005</v>
          </cell>
          <cell r="F35">
            <v>5297240212</v>
          </cell>
          <cell r="G35" t="str">
            <v>24ct Mini - USA</v>
          </cell>
          <cell r="J35">
            <v>15120</v>
          </cell>
        </row>
        <row r="36">
          <cell r="D36">
            <v>5100349466</v>
          </cell>
          <cell r="E36" t="str">
            <v>52-9724-A-000</v>
          </cell>
          <cell r="F36">
            <v>5297240214</v>
          </cell>
          <cell r="G36" t="str">
            <v>24ct Mini - RFID</v>
          </cell>
          <cell r="J36">
            <v>20160</v>
          </cell>
        </row>
        <row r="37">
          <cell r="D37">
            <v>5100349469</v>
          </cell>
          <cell r="E37" t="str">
            <v>52-9824-0-006</v>
          </cell>
          <cell r="F37">
            <v>5298240209</v>
          </cell>
          <cell r="G37" t="str">
            <v>24ct Mini Fun Effect - USA.24</v>
          </cell>
          <cell r="J37">
            <v>10080</v>
          </cell>
        </row>
        <row r="38">
          <cell r="D38">
            <v>5100349470</v>
          </cell>
          <cell r="E38" t="str">
            <v>52-3420-0-001</v>
          </cell>
          <cell r="F38">
            <v>5234200201</v>
          </cell>
          <cell r="G38" t="str">
            <v>50ct Mini - USA</v>
          </cell>
          <cell r="J38">
            <v>20328</v>
          </cell>
        </row>
        <row r="39">
          <cell r="D39">
            <v>5100349484</v>
          </cell>
          <cell r="E39" t="str">
            <v>52-9830-E-000</v>
          </cell>
          <cell r="F39" t="str">
            <v>529824E205</v>
          </cell>
          <cell r="G39" t="str">
            <v>24ct Mini Fun Effects UK - CDU 26</v>
          </cell>
          <cell r="J39">
            <v>10020</v>
          </cell>
        </row>
        <row r="40">
          <cell r="D40">
            <v>5100349485</v>
          </cell>
          <cell r="E40" t="str">
            <v>52-9830-E-000</v>
          </cell>
          <cell r="F40" t="str">
            <v>529824E205</v>
          </cell>
          <cell r="G40" t="str">
            <v>24ct Mini Fun Effects UK - CDU 26</v>
          </cell>
          <cell r="J40">
            <v>5196</v>
          </cell>
        </row>
        <row r="41">
          <cell r="D41">
            <v>5100349486</v>
          </cell>
          <cell r="E41" t="str">
            <v>MBP</v>
          </cell>
          <cell r="F41" t="str">
            <v>IN03</v>
          </cell>
          <cell r="G41" t="str">
            <v>Mini Bulk Pack</v>
          </cell>
          <cell r="J41">
            <v>11136</v>
          </cell>
        </row>
        <row r="42">
          <cell r="D42">
            <v>5100349950</v>
          </cell>
          <cell r="E42" t="str">
            <v>52-5834-0-000</v>
          </cell>
          <cell r="F42">
            <v>5258340200</v>
          </cell>
          <cell r="G42" t="str">
            <v>24ct Mini Smash Up - Canada</v>
          </cell>
          <cell r="J42">
            <v>10080</v>
          </cell>
        </row>
        <row r="43">
          <cell r="D43">
            <v>5100349977</v>
          </cell>
          <cell r="E43" t="str">
            <v>68-8269-0-003</v>
          </cell>
          <cell r="F43">
            <v>6882690203</v>
          </cell>
          <cell r="G43" t="str">
            <v>12 Pencil Silly - Canada</v>
          </cell>
          <cell r="J43">
            <v>7040</v>
          </cell>
        </row>
        <row r="44">
          <cell r="D44">
            <v>5100350602</v>
          </cell>
          <cell r="E44" t="str">
            <v>04-1421-0-000</v>
          </cell>
          <cell r="F44" t="str">
            <v>0414210300</v>
          </cell>
          <cell r="G44" t="str">
            <v>Click Carrying Case</v>
          </cell>
          <cell r="J44">
            <v>10368</v>
          </cell>
        </row>
        <row r="45">
          <cell r="D45">
            <v>5100350604</v>
          </cell>
          <cell r="E45" t="str">
            <v>04-1421-0-000</v>
          </cell>
          <cell r="F45" t="str">
            <v>0414210300</v>
          </cell>
          <cell r="G45" t="str">
            <v>Click Carrying Case</v>
          </cell>
          <cell r="J45">
            <v>15120</v>
          </cell>
        </row>
        <row r="46">
          <cell r="D46">
            <v>5100350618</v>
          </cell>
          <cell r="E46" t="str">
            <v>52-9724-A-000</v>
          </cell>
          <cell r="F46">
            <v>5297240214</v>
          </cell>
          <cell r="G46" t="str">
            <v>24ct Mini - RFID</v>
          </cell>
          <cell r="J46">
            <v>20160</v>
          </cell>
        </row>
        <row r="47">
          <cell r="D47">
            <v>5100351017</v>
          </cell>
          <cell r="E47" t="str">
            <v>68-7406-0-002</v>
          </cell>
          <cell r="F47">
            <v>6874060202</v>
          </cell>
          <cell r="G47" t="str">
            <v>50ct Pencil - USA.24</v>
          </cell>
          <cell r="J47">
            <v>40320</v>
          </cell>
        </row>
        <row r="48">
          <cell r="D48">
            <v>5100351026</v>
          </cell>
          <cell r="E48" t="str">
            <v>52-9724-1-005</v>
          </cell>
          <cell r="F48">
            <v>5297240212</v>
          </cell>
          <cell r="G48" t="str">
            <v>24ct Mini - USA</v>
          </cell>
          <cell r="J48">
            <v>10584</v>
          </cell>
        </row>
        <row r="49">
          <cell r="D49">
            <v>5100351027</v>
          </cell>
          <cell r="E49" t="str">
            <v>52-9824-0-006</v>
          </cell>
          <cell r="F49">
            <v>5298240209</v>
          </cell>
          <cell r="G49" t="str">
            <v>24ct Mini Fun Effect - USA.24</v>
          </cell>
          <cell r="J49">
            <v>20160</v>
          </cell>
        </row>
        <row r="50">
          <cell r="D50">
            <v>5100351029</v>
          </cell>
          <cell r="E50" t="str">
            <v>52-3420-0-001</v>
          </cell>
          <cell r="F50">
            <v>5234200201</v>
          </cell>
          <cell r="G50" t="str">
            <v>50ct Mini - USA</v>
          </cell>
          <cell r="J50">
            <v>44352</v>
          </cell>
        </row>
        <row r="51">
          <cell r="D51">
            <v>5100351087</v>
          </cell>
          <cell r="E51" t="str">
            <v>52-7412</v>
          </cell>
          <cell r="F51" t="str">
            <v>527412A</v>
          </cell>
          <cell r="G51" t="str">
            <v>12ct Regular - Aus</v>
          </cell>
          <cell r="J51">
            <v>40008</v>
          </cell>
        </row>
        <row r="52">
          <cell r="D52">
            <v>5100351088</v>
          </cell>
          <cell r="E52" t="str">
            <v>52-9701</v>
          </cell>
          <cell r="F52" t="str">
            <v>529701A</v>
          </cell>
          <cell r="G52" t="str">
            <v>16ct Regular - Aus</v>
          </cell>
          <cell r="J52">
            <v>7200</v>
          </cell>
        </row>
        <row r="53">
          <cell r="D53">
            <v>5100351090</v>
          </cell>
          <cell r="E53" t="str">
            <v>52-7250</v>
          </cell>
          <cell r="F53">
            <v>527250</v>
          </cell>
          <cell r="G53" t="str">
            <v>240ct Class Set Pack - Aus</v>
          </cell>
          <cell r="J53">
            <v>2600</v>
          </cell>
        </row>
        <row r="54">
          <cell r="D54">
            <v>5100351253</v>
          </cell>
          <cell r="E54" t="str">
            <v>68-7415-E-005</v>
          </cell>
          <cell r="F54" t="str">
            <v>687415E206</v>
          </cell>
          <cell r="G54" t="str">
            <v>10ct Pencil - UKPT 25</v>
          </cell>
          <cell r="J54">
            <v>6720</v>
          </cell>
        </row>
        <row r="55">
          <cell r="D55">
            <v>5100351256</v>
          </cell>
          <cell r="E55" t="str">
            <v>04-5563-E-006</v>
          </cell>
          <cell r="F55" t="str">
            <v>04-5563-E-306</v>
          </cell>
          <cell r="G55" t="str">
            <v>32ct Regular - UK 26</v>
          </cell>
          <cell r="J55">
            <v>6720</v>
          </cell>
        </row>
        <row r="56">
          <cell r="D56">
            <v>5100351258</v>
          </cell>
          <cell r="E56" t="str">
            <v>52-8530-E-007</v>
          </cell>
          <cell r="F56" t="str">
            <v>528530E208</v>
          </cell>
          <cell r="G56" t="str">
            <v>12ct Regular - UKPT 25</v>
          </cell>
          <cell r="J56">
            <v>19152</v>
          </cell>
        </row>
        <row r="57">
          <cell r="D57">
            <v>5100351259</v>
          </cell>
          <cell r="E57" t="str">
            <v>52-8501-E-005</v>
          </cell>
          <cell r="F57" t="str">
            <v>528501E205</v>
          </cell>
          <cell r="G57" t="str">
            <v>24ct Regular - UKPT 25</v>
          </cell>
          <cell r="J57">
            <v>15552</v>
          </cell>
        </row>
        <row r="58">
          <cell r="D58">
            <v>5100351274</v>
          </cell>
          <cell r="E58" t="str">
            <v>MBP</v>
          </cell>
          <cell r="F58" t="str">
            <v>IN03</v>
          </cell>
          <cell r="G58" t="str">
            <v>Mini Bulk Pack</v>
          </cell>
          <cell r="J58">
            <v>7712</v>
          </cell>
        </row>
        <row r="59">
          <cell r="D59">
            <v>5100351398</v>
          </cell>
          <cell r="E59" t="str">
            <v>68-2451-0-000</v>
          </cell>
          <cell r="F59">
            <v>6824510200</v>
          </cell>
          <cell r="G59" t="str">
            <v>12ct Pencil Bold/Bright</v>
          </cell>
          <cell r="J59">
            <v>19200</v>
          </cell>
        </row>
        <row r="60">
          <cell r="D60">
            <v>5100351726</v>
          </cell>
          <cell r="E60" t="str">
            <v>PBP</v>
          </cell>
          <cell r="F60" t="str">
            <v>IN04</v>
          </cell>
          <cell r="G60" t="str">
            <v>Pencil Bulk Pack</v>
          </cell>
          <cell r="J60">
            <v>5056</v>
          </cell>
        </row>
        <row r="61">
          <cell r="D61" t="str">
            <v>5100351726.1</v>
          </cell>
          <cell r="E61" t="str">
            <v>68-0400-1-038</v>
          </cell>
          <cell r="F61" t="str">
            <v>IN04</v>
          </cell>
          <cell r="G61" t="str">
            <v>Red</v>
          </cell>
          <cell r="J61">
            <v>496</v>
          </cell>
        </row>
        <row r="62">
          <cell r="D62" t="str">
            <v>5100351726.2</v>
          </cell>
          <cell r="E62" t="str">
            <v>68-0400-1-037</v>
          </cell>
          <cell r="F62" t="str">
            <v>IN04</v>
          </cell>
          <cell r="G62" t="str">
            <v>Red Orange</v>
          </cell>
          <cell r="J62">
            <v>288</v>
          </cell>
        </row>
        <row r="63">
          <cell r="D63" t="str">
            <v>5100351726.3</v>
          </cell>
          <cell r="E63" t="str">
            <v>68-0400-1-036</v>
          </cell>
          <cell r="F63" t="str">
            <v>IN04</v>
          </cell>
          <cell r="G63" t="str">
            <v>Orange</v>
          </cell>
          <cell r="J63">
            <v>496</v>
          </cell>
        </row>
        <row r="64">
          <cell r="D64" t="str">
            <v>5100351726.4</v>
          </cell>
          <cell r="E64" t="str">
            <v>68-0400-1-034</v>
          </cell>
          <cell r="F64" t="str">
            <v>IN04</v>
          </cell>
          <cell r="G64" t="str">
            <v>Yellow</v>
          </cell>
          <cell r="J64">
            <v>496</v>
          </cell>
        </row>
        <row r="65">
          <cell r="D65" t="str">
            <v>5100351726.5</v>
          </cell>
          <cell r="E65" t="str">
            <v>68-0400-1-045</v>
          </cell>
          <cell r="F65" t="str">
            <v>IN04</v>
          </cell>
          <cell r="G65" t="str">
            <v>Yellow Green</v>
          </cell>
          <cell r="J65">
            <v>496</v>
          </cell>
        </row>
        <row r="66">
          <cell r="D66" t="str">
            <v>5100351726.6</v>
          </cell>
          <cell r="E66" t="str">
            <v>68-0400-1-044</v>
          </cell>
          <cell r="F66" t="str">
            <v>IN04</v>
          </cell>
          <cell r="G66" t="str">
            <v>Green</v>
          </cell>
          <cell r="J66">
            <v>496</v>
          </cell>
        </row>
        <row r="67">
          <cell r="D67" t="str">
            <v>5100351726.7</v>
          </cell>
          <cell r="E67" t="str">
            <v>68-0400-1-074</v>
          </cell>
          <cell r="F67" t="str">
            <v>IN04</v>
          </cell>
          <cell r="G67" t="str">
            <v>Sky Blue</v>
          </cell>
          <cell r="J67">
            <v>800</v>
          </cell>
        </row>
        <row r="68">
          <cell r="D68" t="str">
            <v>5100351726.8</v>
          </cell>
          <cell r="E68" t="str">
            <v>68-0400-1-042</v>
          </cell>
          <cell r="F68" t="str">
            <v>IN04</v>
          </cell>
          <cell r="G68" t="str">
            <v>Blue</v>
          </cell>
          <cell r="J68">
            <v>496</v>
          </cell>
        </row>
        <row r="69">
          <cell r="D69" t="str">
            <v>5100351726.9</v>
          </cell>
          <cell r="E69" t="str">
            <v>68-0400-1-040</v>
          </cell>
          <cell r="F69" t="str">
            <v>IN04</v>
          </cell>
          <cell r="G69" t="str">
            <v>Violet</v>
          </cell>
          <cell r="J69">
            <v>496</v>
          </cell>
        </row>
        <row r="70">
          <cell r="D70" t="str">
            <v>5100351726.10</v>
          </cell>
          <cell r="E70" t="str">
            <v>68-0400-1-051</v>
          </cell>
          <cell r="F70" t="str">
            <v>IN04</v>
          </cell>
          <cell r="G70" t="str">
            <v>Black</v>
          </cell>
          <cell r="J70">
            <v>496</v>
          </cell>
        </row>
        <row r="71">
          <cell r="D71">
            <v>5100351904</v>
          </cell>
          <cell r="E71" t="str">
            <v>52-3917-R-001</v>
          </cell>
          <cell r="F71">
            <v>5297240214</v>
          </cell>
          <cell r="G71" t="str">
            <v>24ct Mini - USA RRP RFID</v>
          </cell>
          <cell r="J71">
            <v>10500</v>
          </cell>
        </row>
        <row r="72">
          <cell r="D72" t="str">
            <v>5100352699.1</v>
          </cell>
          <cell r="E72" t="str">
            <v>68-7409-A-015</v>
          </cell>
          <cell r="F72">
            <v>6874090219</v>
          </cell>
          <cell r="G72" t="str">
            <v>30ct Stay Active Pencil - USA</v>
          </cell>
          <cell r="J72">
            <v>6528</v>
          </cell>
        </row>
        <row r="73">
          <cell r="D73">
            <v>5100352699</v>
          </cell>
          <cell r="E73" t="str">
            <v>68-7409-A-015</v>
          </cell>
          <cell r="F73">
            <v>6874090219</v>
          </cell>
          <cell r="G73" t="str">
            <v>30ct Stay Active Pencil - USA</v>
          </cell>
          <cell r="J73">
            <v>4896</v>
          </cell>
        </row>
        <row r="74">
          <cell r="D74">
            <v>5100352696</v>
          </cell>
          <cell r="E74" t="str">
            <v>68-7409-A-015</v>
          </cell>
          <cell r="F74">
            <v>6874090219</v>
          </cell>
          <cell r="G74" t="str">
            <v>30ct Stay Active Pencil - USA</v>
          </cell>
          <cell r="J74">
            <v>11424</v>
          </cell>
        </row>
        <row r="75">
          <cell r="D75">
            <v>5100352632</v>
          </cell>
          <cell r="E75" t="str">
            <v>52-9715-0-006</v>
          </cell>
          <cell r="F75">
            <v>5297150207</v>
          </cell>
          <cell r="G75" t="str">
            <v>10ct Mini - USA</v>
          </cell>
          <cell r="J75">
            <v>30240</v>
          </cell>
        </row>
        <row r="76">
          <cell r="D76">
            <v>5100352623</v>
          </cell>
          <cell r="E76" t="str">
            <v>52-9715-R-000</v>
          </cell>
          <cell r="F76" t="str">
            <v>529715R200</v>
          </cell>
          <cell r="G76" t="str">
            <v>10ct Mini - RFID</v>
          </cell>
          <cell r="J76">
            <v>30240</v>
          </cell>
        </row>
        <row r="77">
          <cell r="D77">
            <v>5100352622</v>
          </cell>
          <cell r="E77" t="str">
            <v>52-9715-R-000</v>
          </cell>
          <cell r="F77" t="str">
            <v>529715R200</v>
          </cell>
          <cell r="G77" t="str">
            <v>10ct Mini - RFID</v>
          </cell>
          <cell r="J77">
            <v>40320</v>
          </cell>
        </row>
        <row r="78">
          <cell r="D78">
            <v>5100352621</v>
          </cell>
          <cell r="E78" t="str">
            <v>52-9715-0-006</v>
          </cell>
          <cell r="F78">
            <v>5297150207</v>
          </cell>
          <cell r="G78" t="str">
            <v>10ct Mini - USA</v>
          </cell>
          <cell r="J78">
            <v>30240</v>
          </cell>
        </row>
        <row r="79">
          <cell r="D79">
            <v>5100352620</v>
          </cell>
          <cell r="E79" t="str">
            <v>52-9715-0-006</v>
          </cell>
          <cell r="F79">
            <v>5297150207</v>
          </cell>
          <cell r="G79" t="str">
            <v>10ct Mini - USA</v>
          </cell>
          <cell r="J79">
            <v>30240</v>
          </cell>
        </row>
        <row r="80">
          <cell r="D80">
            <v>5100352538</v>
          </cell>
          <cell r="E80" t="str">
            <v>52-8264-0-003</v>
          </cell>
          <cell r="F80">
            <v>5282640204</v>
          </cell>
          <cell r="G80" t="str">
            <v>12ct Mini Smash Up - Canada</v>
          </cell>
          <cell r="J80">
            <v>21060</v>
          </cell>
        </row>
        <row r="81">
          <cell r="D81">
            <v>5100352414</v>
          </cell>
          <cell r="E81" t="str">
            <v>52-9724-A-000</v>
          </cell>
          <cell r="F81">
            <v>5297240214</v>
          </cell>
          <cell r="G81" t="str">
            <v>24ct Mini - RFID</v>
          </cell>
          <cell r="J81">
            <v>20160</v>
          </cell>
        </row>
        <row r="82">
          <cell r="D82">
            <v>5100352413</v>
          </cell>
          <cell r="E82" t="str">
            <v>52-9724-1-008</v>
          </cell>
          <cell r="F82">
            <v>5297240212</v>
          </cell>
          <cell r="G82" t="str">
            <v>24ct Mini - Dollar Tree</v>
          </cell>
          <cell r="J82">
            <v>34776</v>
          </cell>
        </row>
        <row r="83">
          <cell r="D83">
            <v>5100352412</v>
          </cell>
          <cell r="E83" t="str">
            <v>52-9724-1-008</v>
          </cell>
          <cell r="F83">
            <v>5297240212</v>
          </cell>
          <cell r="G83" t="str">
            <v>24ct Mini - Dollar Tree</v>
          </cell>
          <cell r="J83">
            <v>34776</v>
          </cell>
        </row>
        <row r="84">
          <cell r="D84">
            <v>5100353096</v>
          </cell>
          <cell r="E84" t="str">
            <v>52-8531-E-004</v>
          </cell>
          <cell r="F84" t="str">
            <v>52-8530-E-208</v>
          </cell>
          <cell r="G84" t="str">
            <v>12ct Regular - UK CDU.2026</v>
          </cell>
          <cell r="J84">
            <v>11004</v>
          </cell>
        </row>
        <row r="85">
          <cell r="D85">
            <v>5100353098</v>
          </cell>
          <cell r="E85" t="str">
            <v>52-8531-E-004</v>
          </cell>
          <cell r="F85" t="str">
            <v>52-8530-E-208</v>
          </cell>
          <cell r="G85" t="str">
            <v>12ct Regular - UK CDU.2026</v>
          </cell>
          <cell r="J85">
            <v>3000</v>
          </cell>
        </row>
        <row r="86">
          <cell r="D86">
            <v>5100353600</v>
          </cell>
          <cell r="E86" t="str">
            <v>MBP</v>
          </cell>
          <cell r="F86" t="str">
            <v>IN03</v>
          </cell>
          <cell r="G86" t="str">
            <v>Mini Bulk Pack</v>
          </cell>
          <cell r="J86">
            <v>680</v>
          </cell>
        </row>
        <row r="87">
          <cell r="D87">
            <v>5100353820</v>
          </cell>
          <cell r="E87" t="str">
            <v>68-7409-A-015</v>
          </cell>
          <cell r="F87">
            <v>6874090219</v>
          </cell>
          <cell r="G87" t="str">
            <v>30ct Stay Active Pencil - USA</v>
          </cell>
          <cell r="J87">
            <v>11424</v>
          </cell>
        </row>
        <row r="88">
          <cell r="D88">
            <v>5100353823</v>
          </cell>
          <cell r="E88" t="str">
            <v>68-7406-0-002</v>
          </cell>
          <cell r="F88">
            <v>6874060202</v>
          </cell>
          <cell r="G88" t="str">
            <v>50ct Pencil - USA.24</v>
          </cell>
          <cell r="J88">
            <v>37440</v>
          </cell>
        </row>
        <row r="89">
          <cell r="D89">
            <v>5100353824</v>
          </cell>
          <cell r="E89" t="str">
            <v>68-7406-0-002</v>
          </cell>
          <cell r="F89">
            <v>6874060202</v>
          </cell>
          <cell r="G89" t="str">
            <v>50ct Pencil - USA.24</v>
          </cell>
          <cell r="J89">
            <v>37440</v>
          </cell>
        </row>
        <row r="90">
          <cell r="D90">
            <v>5100353825</v>
          </cell>
          <cell r="E90" t="str">
            <v>68-7406-0-002</v>
          </cell>
          <cell r="F90">
            <v>6874060202</v>
          </cell>
          <cell r="G90" t="str">
            <v>50ct Pencil - USA.24</v>
          </cell>
          <cell r="J90">
            <v>37440</v>
          </cell>
        </row>
        <row r="91">
          <cell r="D91">
            <v>5100353907</v>
          </cell>
          <cell r="E91" t="str">
            <v>52-1840-A-000</v>
          </cell>
          <cell r="F91">
            <v>5218390201</v>
          </cell>
          <cell r="G91" t="str">
            <v>12ct Mini Smash Up - Dollar Tree</v>
          </cell>
          <cell r="J91">
            <v>57960</v>
          </cell>
        </row>
        <row r="92">
          <cell r="D92">
            <v>5100353909</v>
          </cell>
          <cell r="E92" t="str">
            <v>52-3420-0-001</v>
          </cell>
          <cell r="F92">
            <v>5234200201</v>
          </cell>
          <cell r="G92" t="str">
            <v>50ct Mini - USA</v>
          </cell>
          <cell r="J92">
            <v>29568</v>
          </cell>
        </row>
        <row r="93">
          <cell r="D93">
            <v>5100353999</v>
          </cell>
          <cell r="E93" t="str">
            <v>68-7420-E-000</v>
          </cell>
          <cell r="F93" t="str">
            <v>687415E206</v>
          </cell>
          <cell r="G93" t="str">
            <v>10ct Pencil - CDU 26</v>
          </cell>
          <cell r="J93">
            <v>15876</v>
          </cell>
        </row>
        <row r="94">
          <cell r="D94">
            <v>5100354000</v>
          </cell>
          <cell r="E94" t="str">
            <v>68-7420-E-000</v>
          </cell>
          <cell r="F94" t="str">
            <v>687415E206</v>
          </cell>
          <cell r="G94" t="str">
            <v>10ct Pencil - CDU 26</v>
          </cell>
          <cell r="J94">
            <v>3978</v>
          </cell>
        </row>
        <row r="95">
          <cell r="D95">
            <v>5100354004</v>
          </cell>
          <cell r="E95" t="str">
            <v>52-8530-E-007</v>
          </cell>
          <cell r="F95" t="str">
            <v>528530E208</v>
          </cell>
          <cell r="G95" t="str">
            <v>12ct Regular - UKPT 25</v>
          </cell>
          <cell r="J95">
            <v>31920</v>
          </cell>
        </row>
        <row r="96">
          <cell r="D96">
            <v>5100354005</v>
          </cell>
          <cell r="E96" t="str">
            <v>52-8530-E-007</v>
          </cell>
          <cell r="F96" t="str">
            <v>528530E208</v>
          </cell>
          <cell r="G96" t="str">
            <v>12ct Regular - UKPT 25</v>
          </cell>
          <cell r="J96">
            <v>35112</v>
          </cell>
        </row>
        <row r="97">
          <cell r="D97">
            <v>5100354006</v>
          </cell>
          <cell r="E97" t="str">
            <v>52-9712-E-005</v>
          </cell>
          <cell r="F97" t="str">
            <v>529712E205</v>
          </cell>
          <cell r="G97" t="str">
            <v>12ct Mini Silly - V5</v>
          </cell>
          <cell r="J97">
            <v>42000</v>
          </cell>
        </row>
        <row r="98">
          <cell r="D98">
            <v>5100354007</v>
          </cell>
          <cell r="E98" t="str">
            <v>52-9712-E-005</v>
          </cell>
          <cell r="F98" t="str">
            <v>529712E205</v>
          </cell>
          <cell r="G98" t="str">
            <v>12ct Mini Silly - V5</v>
          </cell>
          <cell r="J98">
            <v>8400</v>
          </cell>
        </row>
        <row r="99">
          <cell r="D99">
            <v>5100354008</v>
          </cell>
          <cell r="E99" t="str">
            <v>52-8501-E-005</v>
          </cell>
          <cell r="F99" t="str">
            <v>528501E205</v>
          </cell>
          <cell r="G99" t="str">
            <v>24ct Regular - UKPT 25</v>
          </cell>
          <cell r="J99">
            <v>6480</v>
          </cell>
        </row>
        <row r="100">
          <cell r="D100">
            <v>5100354009</v>
          </cell>
          <cell r="E100" t="str">
            <v>52-9830-E-000</v>
          </cell>
          <cell r="F100" t="str">
            <v>529824E205</v>
          </cell>
          <cell r="G100" t="str">
            <v>24ct Mini Fun Effects UK - CDU 26</v>
          </cell>
          <cell r="J100">
            <v>2226</v>
          </cell>
        </row>
        <row r="101">
          <cell r="D101">
            <v>5100354010</v>
          </cell>
          <cell r="E101" t="str">
            <v>52-9652-E-003</v>
          </cell>
          <cell r="F101" t="str">
            <v>529652E204</v>
          </cell>
          <cell r="G101" t="str">
            <v>52ct Regular - UK 26</v>
          </cell>
          <cell r="J101">
            <v>5004</v>
          </cell>
        </row>
        <row r="102">
          <cell r="D102">
            <v>5100354012</v>
          </cell>
          <cell r="E102" t="str">
            <v>68-7524-0-003</v>
          </cell>
          <cell r="F102">
            <v>6875240203</v>
          </cell>
          <cell r="G102" t="str">
            <v>24ct Pencil - Canada</v>
          </cell>
          <cell r="J102">
            <v>10080</v>
          </cell>
        </row>
        <row r="103">
          <cell r="D103">
            <v>5100354013</v>
          </cell>
          <cell r="E103" t="str">
            <v>52-4512-0-002</v>
          </cell>
          <cell r="F103">
            <v>5245120202</v>
          </cell>
          <cell r="G103" t="str">
            <v>12ct Regular - Canada</v>
          </cell>
          <cell r="J103">
            <v>12960</v>
          </cell>
        </row>
        <row r="104">
          <cell r="D104">
            <v>5100354014</v>
          </cell>
          <cell r="E104" t="str">
            <v>68-7408-M-010</v>
          </cell>
          <cell r="F104" t="str">
            <v>687408M</v>
          </cell>
          <cell r="G104" t="str">
            <v>12ct Pencil 2025 - Mex</v>
          </cell>
          <cell r="J104">
            <v>10368</v>
          </cell>
        </row>
        <row r="105">
          <cell r="D105">
            <v>5100354015</v>
          </cell>
          <cell r="E105" t="str">
            <v>68-7424-M-009</v>
          </cell>
          <cell r="F105" t="str">
            <v>68-7424-M-009</v>
          </cell>
          <cell r="G105" t="str">
            <v>24ct Pencil - Mexico</v>
          </cell>
          <cell r="J105">
            <v>10368</v>
          </cell>
        </row>
        <row r="106">
          <cell r="D106">
            <v>5100354018</v>
          </cell>
          <cell r="E106" t="str">
            <v>52-0712-0-009</v>
          </cell>
          <cell r="F106">
            <v>520712</v>
          </cell>
          <cell r="G106" t="str">
            <v>12ct Mini 2025 - Mex</v>
          </cell>
          <cell r="J106">
            <v>10008</v>
          </cell>
        </row>
        <row r="107">
          <cell r="D107">
            <v>5100354019</v>
          </cell>
          <cell r="E107" t="str">
            <v>52-0784-M-008</v>
          </cell>
          <cell r="F107">
            <v>520784</v>
          </cell>
          <cell r="G107" t="str">
            <v>12ct Regular - Mex 25</v>
          </cell>
          <cell r="J107">
            <v>13824</v>
          </cell>
        </row>
        <row r="108">
          <cell r="D108">
            <v>5100354020</v>
          </cell>
          <cell r="E108" t="str">
            <v>52-0784-M-008</v>
          </cell>
          <cell r="F108">
            <v>520784</v>
          </cell>
          <cell r="G108" t="str">
            <v>12ct Regular - Mex 25</v>
          </cell>
          <cell r="J108">
            <v>17280</v>
          </cell>
        </row>
        <row r="109">
          <cell r="D109">
            <v>5100354022</v>
          </cell>
          <cell r="E109" t="str">
            <v>52-3471-7-130</v>
          </cell>
          <cell r="F109" t="str">
            <v>IN03</v>
          </cell>
          <cell r="G109" t="str">
            <v>Rainbow Donut/ White</v>
          </cell>
          <cell r="J109">
            <v>480</v>
          </cell>
        </row>
        <row r="110">
          <cell r="D110">
            <v>5100354288</v>
          </cell>
          <cell r="E110" t="str">
            <v>68-7406-0-002</v>
          </cell>
          <cell r="F110">
            <v>6874060202</v>
          </cell>
          <cell r="G110" t="str">
            <v>50ct Pencil - USA.24</v>
          </cell>
          <cell r="J110">
            <v>4992</v>
          </cell>
        </row>
        <row r="111">
          <cell r="D111">
            <v>5100354315</v>
          </cell>
          <cell r="E111" t="str">
            <v>68-7408-0-013</v>
          </cell>
          <cell r="F111">
            <v>6874080205</v>
          </cell>
          <cell r="G111" t="str">
            <v>12ct Pencil - USA</v>
          </cell>
          <cell r="J111">
            <v>19200</v>
          </cell>
        </row>
        <row r="112">
          <cell r="D112">
            <v>5100354316</v>
          </cell>
          <cell r="E112" t="str">
            <v>68-7408-0-013</v>
          </cell>
          <cell r="F112">
            <v>6874080205</v>
          </cell>
          <cell r="G112" t="str">
            <v>12ct Pencil - USA</v>
          </cell>
          <cell r="J112">
            <v>57600</v>
          </cell>
        </row>
        <row r="113">
          <cell r="D113">
            <v>5100354318</v>
          </cell>
          <cell r="E113" t="str">
            <v>52-9724-A-000</v>
          </cell>
          <cell r="F113">
            <v>5297240214</v>
          </cell>
          <cell r="G113" t="str">
            <v>24ct Mini - RFID</v>
          </cell>
          <cell r="J113">
            <v>20160</v>
          </cell>
        </row>
        <row r="114">
          <cell r="D114">
            <v>5100354319</v>
          </cell>
          <cell r="E114" t="str">
            <v>52-9724-A-000</v>
          </cell>
          <cell r="F114">
            <v>5297240214</v>
          </cell>
          <cell r="G114" t="str">
            <v>24ct Mini - RFID</v>
          </cell>
          <cell r="J114">
            <v>20160</v>
          </cell>
        </row>
        <row r="115">
          <cell r="D115">
            <v>5100354320</v>
          </cell>
          <cell r="E115" t="str">
            <v>52-9724-1-005</v>
          </cell>
          <cell r="F115">
            <v>5297240212</v>
          </cell>
          <cell r="G115" t="str">
            <v>24ct Mini - USA</v>
          </cell>
          <cell r="J115">
            <v>52920</v>
          </cell>
        </row>
        <row r="116">
          <cell r="D116">
            <v>5100354322</v>
          </cell>
          <cell r="E116" t="str">
            <v>52-9724-1-008</v>
          </cell>
          <cell r="F116">
            <v>5297240212</v>
          </cell>
          <cell r="G116" t="str">
            <v>24ct Mini - Dollar Tree</v>
          </cell>
          <cell r="J116">
            <v>37800</v>
          </cell>
        </row>
        <row r="117">
          <cell r="D117">
            <v>5100355339</v>
          </cell>
          <cell r="E117" t="str">
            <v>68-7406-0-002</v>
          </cell>
          <cell r="F117">
            <v>6874060202</v>
          </cell>
          <cell r="G117" t="str">
            <v>50ct Pencil - USA.24</v>
          </cell>
          <cell r="J117">
            <v>19200</v>
          </cell>
        </row>
        <row r="118">
          <cell r="D118">
            <v>5100355340</v>
          </cell>
          <cell r="E118" t="str">
            <v>68-7406-0-002</v>
          </cell>
          <cell r="F118">
            <v>6874060202</v>
          </cell>
          <cell r="G118" t="str">
            <v>50ct Pencil - USA.24</v>
          </cell>
          <cell r="J118">
            <v>19200</v>
          </cell>
        </row>
        <row r="119">
          <cell r="D119">
            <v>5100355343</v>
          </cell>
          <cell r="E119" t="str">
            <v>04-1421-R-000</v>
          </cell>
          <cell r="F119" t="str">
            <v>041421R300</v>
          </cell>
          <cell r="G119" t="str">
            <v>Click Carrying Case - RFID</v>
          </cell>
          <cell r="J119">
            <v>15120</v>
          </cell>
        </row>
        <row r="120">
          <cell r="D120">
            <v>5100355363</v>
          </cell>
          <cell r="E120" t="str">
            <v>52-9824-0-006</v>
          </cell>
          <cell r="F120">
            <v>5298240209</v>
          </cell>
          <cell r="G120" t="str">
            <v>24ct Mini Fun Effect - USA.24</v>
          </cell>
          <cell r="J120">
            <v>20160</v>
          </cell>
        </row>
        <row r="121">
          <cell r="D121">
            <v>5100355364</v>
          </cell>
          <cell r="E121" t="str">
            <v>52-9824-0-006</v>
          </cell>
          <cell r="F121">
            <v>5298240209</v>
          </cell>
          <cell r="G121" t="str">
            <v>24ct Mini Fun Effect - USA.24</v>
          </cell>
          <cell r="J121">
            <v>16800</v>
          </cell>
        </row>
        <row r="122">
          <cell r="D122">
            <v>5100355365</v>
          </cell>
          <cell r="E122" t="str">
            <v>52-9824-0-006</v>
          </cell>
          <cell r="F122">
            <v>5298240209</v>
          </cell>
          <cell r="G122" t="str">
            <v>24ct Mini Fun Effect - USA.24</v>
          </cell>
          <cell r="J122">
            <v>33600</v>
          </cell>
        </row>
        <row r="123">
          <cell r="D123">
            <v>5100355380</v>
          </cell>
          <cell r="E123" t="str">
            <v>68-0400-1-038</v>
          </cell>
          <cell r="F123" t="str">
            <v>IN04</v>
          </cell>
          <cell r="G123" t="str">
            <v>Red</v>
          </cell>
          <cell r="J123">
            <v>368</v>
          </cell>
        </row>
        <row r="124">
          <cell r="D124">
            <v>5100355380</v>
          </cell>
          <cell r="E124" t="str">
            <v>68-0400-1-036</v>
          </cell>
          <cell r="F124" t="str">
            <v>IN04</v>
          </cell>
          <cell r="G124" t="str">
            <v>Orange</v>
          </cell>
          <cell r="J124">
            <v>368</v>
          </cell>
        </row>
        <row r="125">
          <cell r="D125">
            <v>5100355380</v>
          </cell>
          <cell r="E125" t="str">
            <v>68-0400-1-034</v>
          </cell>
          <cell r="F125" t="str">
            <v>IN04</v>
          </cell>
          <cell r="G125" t="str">
            <v>Yellow</v>
          </cell>
          <cell r="J125">
            <v>368</v>
          </cell>
        </row>
        <row r="126">
          <cell r="D126">
            <v>5100355380</v>
          </cell>
          <cell r="E126" t="str">
            <v>68-0400-1-045</v>
          </cell>
          <cell r="F126" t="str">
            <v>IN04</v>
          </cell>
          <cell r="G126" t="str">
            <v>Yellow Green</v>
          </cell>
          <cell r="J126">
            <v>368</v>
          </cell>
        </row>
        <row r="127">
          <cell r="D127">
            <v>5100355380</v>
          </cell>
          <cell r="E127" t="str">
            <v>68-0400-1-044</v>
          </cell>
          <cell r="F127" t="str">
            <v>IN04</v>
          </cell>
          <cell r="G127" t="str">
            <v>Green</v>
          </cell>
          <cell r="J127">
            <v>368</v>
          </cell>
        </row>
        <row r="128">
          <cell r="D128">
            <v>5100355380</v>
          </cell>
          <cell r="E128" t="str">
            <v>68-0400-1-042</v>
          </cell>
          <cell r="F128" t="str">
            <v>IN04</v>
          </cell>
          <cell r="G128" t="str">
            <v>Blue</v>
          </cell>
          <cell r="J128">
            <v>368</v>
          </cell>
        </row>
        <row r="129">
          <cell r="D129">
            <v>5100355380</v>
          </cell>
          <cell r="E129" t="str">
            <v>68-0400-1-040</v>
          </cell>
          <cell r="F129" t="str">
            <v>IN04</v>
          </cell>
          <cell r="G129" t="str">
            <v>Violet</v>
          </cell>
          <cell r="J129">
            <v>368</v>
          </cell>
        </row>
        <row r="130">
          <cell r="D130">
            <v>5100355380</v>
          </cell>
          <cell r="E130" t="str">
            <v>68-0400-1-007</v>
          </cell>
          <cell r="F130" t="str">
            <v>IN04</v>
          </cell>
          <cell r="G130" t="str">
            <v>Brown</v>
          </cell>
          <cell r="J130">
            <v>400</v>
          </cell>
        </row>
        <row r="131">
          <cell r="D131">
            <v>5100355380</v>
          </cell>
          <cell r="E131" t="str">
            <v>68-0400-1-051</v>
          </cell>
          <cell r="F131" t="str">
            <v>IN04</v>
          </cell>
          <cell r="G131" t="str">
            <v>Black</v>
          </cell>
          <cell r="J131">
            <v>368</v>
          </cell>
        </row>
        <row r="132">
          <cell r="D132" t="str">
            <v>124370A</v>
          </cell>
          <cell r="E132" t="str">
            <v>041L</v>
          </cell>
          <cell r="F132" t="str">
            <v>ML041L</v>
          </cell>
          <cell r="G132" t="str">
            <v>Marlin</v>
          </cell>
          <cell r="J132">
            <v>115200</v>
          </cell>
        </row>
        <row r="133">
          <cell r="D133" t="str">
            <v>124370B</v>
          </cell>
          <cell r="E133" t="str">
            <v>041L</v>
          </cell>
          <cell r="F133" t="str">
            <v>ML041L</v>
          </cell>
          <cell r="G133" t="str">
            <v>Marlin</v>
          </cell>
          <cell r="J133">
            <v>115200</v>
          </cell>
        </row>
        <row r="134">
          <cell r="D134" t="str">
            <v>124370C</v>
          </cell>
          <cell r="E134" t="str">
            <v>041L</v>
          </cell>
          <cell r="F134" t="str">
            <v>ML041L</v>
          </cell>
          <cell r="G134" t="str">
            <v>Marlin</v>
          </cell>
          <cell r="J134">
            <v>115200</v>
          </cell>
        </row>
        <row r="135">
          <cell r="D135" t="str">
            <v>124370D</v>
          </cell>
          <cell r="E135" t="str">
            <v>041L</v>
          </cell>
          <cell r="F135" t="str">
            <v>ML041L</v>
          </cell>
          <cell r="G135" t="str">
            <v>Marlin</v>
          </cell>
          <cell r="J135">
            <v>115200</v>
          </cell>
        </row>
        <row r="136">
          <cell r="D136" t="str">
            <v>124370E</v>
          </cell>
          <cell r="E136" t="str">
            <v>041L</v>
          </cell>
          <cell r="F136" t="str">
            <v>ML041L</v>
          </cell>
          <cell r="G136" t="str">
            <v>Marlin</v>
          </cell>
          <cell r="J136">
            <v>115200</v>
          </cell>
        </row>
        <row r="137">
          <cell r="D137" t="str">
            <v>4700025118A</v>
          </cell>
          <cell r="E137" t="str">
            <v>52-9724-L-002</v>
          </cell>
          <cell r="F137">
            <v>5297240212</v>
          </cell>
          <cell r="G137" t="str">
            <v>24ct Mini - Target</v>
          </cell>
          <cell r="J137">
            <v>15660</v>
          </cell>
        </row>
        <row r="138">
          <cell r="D138" t="str">
            <v>4700025118B</v>
          </cell>
          <cell r="E138" t="str">
            <v>68-7418-L-002</v>
          </cell>
          <cell r="F138">
            <v>6874180205</v>
          </cell>
          <cell r="G138" t="str">
            <v>18ct Pencil - Target</v>
          </cell>
          <cell r="J138">
            <v>11220</v>
          </cell>
        </row>
        <row r="139">
          <cell r="D139" t="str">
            <v>4700025125A</v>
          </cell>
          <cell r="E139" t="str">
            <v>52-9724-L-002</v>
          </cell>
          <cell r="F139">
            <v>5297240212</v>
          </cell>
          <cell r="G139" t="str">
            <v>24ct Mini - Target</v>
          </cell>
          <cell r="J139">
            <v>18912</v>
          </cell>
        </row>
        <row r="140">
          <cell r="D140" t="str">
            <v>4700025125B</v>
          </cell>
          <cell r="E140" t="str">
            <v>68-7418-L-002</v>
          </cell>
          <cell r="F140">
            <v>6874180205</v>
          </cell>
          <cell r="G140" t="str">
            <v>18ct Pencil - Target</v>
          </cell>
          <cell r="J140">
            <v>9444</v>
          </cell>
        </row>
        <row r="141">
          <cell r="D141">
            <v>5100352411</v>
          </cell>
          <cell r="E141" t="str">
            <v>52-9724-1-005</v>
          </cell>
          <cell r="F141">
            <v>5297240212</v>
          </cell>
          <cell r="G141" t="str">
            <v>24ct Mini - USA</v>
          </cell>
          <cell r="J141">
            <v>30240</v>
          </cell>
        </row>
        <row r="142">
          <cell r="D142" t="str">
            <v>5100354365A</v>
          </cell>
          <cell r="E142" t="str">
            <v>52-0708-0-009</v>
          </cell>
          <cell r="F142">
            <v>520708</v>
          </cell>
          <cell r="G142" t="str">
            <v>08ct Mini 2025 - Mex</v>
          </cell>
          <cell r="J142">
            <v>13824</v>
          </cell>
        </row>
        <row r="143">
          <cell r="D143" t="str">
            <v>5100354365B</v>
          </cell>
          <cell r="E143" t="str">
            <v>68-7408-M-010</v>
          </cell>
          <cell r="F143" t="str">
            <v>687408M</v>
          </cell>
          <cell r="G143" t="str">
            <v>12ct Pencil 2025 - Mex</v>
          </cell>
          <cell r="J143">
            <v>20160</v>
          </cell>
        </row>
        <row r="144">
          <cell r="D144" t="str">
            <v>AU 26104462</v>
          </cell>
          <cell r="E144" t="str">
            <v>BIC</v>
          </cell>
          <cell r="F144" t="str">
            <v>BIC</v>
          </cell>
          <cell r="G144" t="str">
            <v>Bic 8805085</v>
          </cell>
          <cell r="J144">
            <v>0</v>
          </cell>
        </row>
        <row r="145">
          <cell r="D145" t="str">
            <v>ZA 26104448</v>
          </cell>
          <cell r="E145" t="str">
            <v>BIC</v>
          </cell>
          <cell r="F145" t="str">
            <v>BIC</v>
          </cell>
          <cell r="G145" t="str">
            <v>Bic 8805085</v>
          </cell>
          <cell r="J145">
            <v>0</v>
          </cell>
        </row>
        <row r="146">
          <cell r="D146">
            <v>5003306081</v>
          </cell>
          <cell r="E146" t="str">
            <v>rbp</v>
          </cell>
          <cell r="F146" t="str">
            <v>IN02</v>
          </cell>
          <cell r="G146" t="str">
            <v>Reg bulk pack</v>
          </cell>
          <cell r="J146">
            <v>208</v>
          </cell>
        </row>
        <row r="147">
          <cell r="D147">
            <v>4700025424</v>
          </cell>
          <cell r="E147" t="str">
            <v>52-9724-L-002</v>
          </cell>
          <cell r="F147">
            <v>5297240212</v>
          </cell>
          <cell r="G147" t="str">
            <v>24ct Mini - Target</v>
          </cell>
          <cell r="J147">
            <v>14820</v>
          </cell>
        </row>
        <row r="148">
          <cell r="D148">
            <v>5100357692</v>
          </cell>
          <cell r="E148" t="str">
            <v>68-7406-0-002</v>
          </cell>
          <cell r="F148">
            <v>6874060202</v>
          </cell>
          <cell r="G148" t="str">
            <v>50ct Pencil - USA.24</v>
          </cell>
          <cell r="J148">
            <v>24960</v>
          </cell>
        </row>
        <row r="149">
          <cell r="D149">
            <v>5100357702</v>
          </cell>
          <cell r="E149" t="str">
            <v>52-9824-0-006</v>
          </cell>
          <cell r="F149">
            <v>5298240209</v>
          </cell>
          <cell r="G149" t="str">
            <v>24ct Mini Fun Effect - USA.24</v>
          </cell>
          <cell r="J149">
            <v>50400</v>
          </cell>
        </row>
        <row r="150">
          <cell r="D150">
            <v>5100357705</v>
          </cell>
          <cell r="E150" t="str">
            <v>52-3420-0-001</v>
          </cell>
          <cell r="F150">
            <v>5234200201</v>
          </cell>
          <cell r="G150" t="str">
            <v>50ct Mini - USA</v>
          </cell>
          <cell r="J150">
            <v>18480</v>
          </cell>
        </row>
        <row r="151">
          <cell r="D151">
            <v>5100357706</v>
          </cell>
          <cell r="E151" t="str">
            <v>52-3420-0-001</v>
          </cell>
          <cell r="F151">
            <v>5234200201</v>
          </cell>
          <cell r="G151" t="str">
            <v>50ct Mini - USA</v>
          </cell>
          <cell r="J151">
            <v>18480</v>
          </cell>
        </row>
        <row r="152">
          <cell r="D152">
            <v>5100357693</v>
          </cell>
          <cell r="E152" t="str">
            <v>68-7406-0-002</v>
          </cell>
          <cell r="F152">
            <v>6874060202</v>
          </cell>
          <cell r="G152" t="str">
            <v>50ct Pencil - USA.24</v>
          </cell>
          <cell r="J152">
            <v>24960</v>
          </cell>
        </row>
        <row r="153">
          <cell r="D153">
            <v>5100357735</v>
          </cell>
          <cell r="E153" t="str">
            <v>52-0784-M-008</v>
          </cell>
          <cell r="F153">
            <v>520784</v>
          </cell>
          <cell r="G153" t="str">
            <v>12ct Regular - Mex 25</v>
          </cell>
          <cell r="J153">
            <v>10368</v>
          </cell>
        </row>
        <row r="154">
          <cell r="D154">
            <v>5100353911</v>
          </cell>
          <cell r="E154" t="str">
            <v>52-3420-0-001</v>
          </cell>
          <cell r="F154">
            <v>5234200201</v>
          </cell>
          <cell r="G154" t="str">
            <v>50ct Mini - USA</v>
          </cell>
          <cell r="J154">
            <v>29568</v>
          </cell>
        </row>
        <row r="155">
          <cell r="D155">
            <v>5100354323</v>
          </cell>
          <cell r="E155" t="str">
            <v>52-9724-1-008</v>
          </cell>
          <cell r="F155">
            <v>5297240212</v>
          </cell>
          <cell r="G155" t="str">
            <v>24ct Mini - Dollar Tree</v>
          </cell>
          <cell r="J155">
            <v>49896</v>
          </cell>
        </row>
        <row r="156">
          <cell r="D156">
            <v>5100354321</v>
          </cell>
          <cell r="E156" t="str">
            <v>52-9724-1-005</v>
          </cell>
          <cell r="F156">
            <v>5297240212</v>
          </cell>
          <cell r="G156" t="str">
            <v>24ct Mini - USA</v>
          </cell>
          <cell r="J156">
            <v>22680</v>
          </cell>
        </row>
        <row r="157">
          <cell r="D157">
            <v>26106114</v>
          </cell>
          <cell r="E157" t="str">
            <v>BIC</v>
          </cell>
          <cell r="F157" t="str">
            <v>BIC</v>
          </cell>
          <cell r="G157" t="str">
            <v>Bic 8805085</v>
          </cell>
          <cell r="J157">
            <v>0</v>
          </cell>
        </row>
        <row r="158">
          <cell r="D158">
            <v>5100353914</v>
          </cell>
          <cell r="E158" t="str">
            <v>52-9724-K-802</v>
          </cell>
          <cell r="F158" t="str">
            <v>529724K200</v>
          </cell>
          <cell r="G158" t="str">
            <v>24ctMini-AUS</v>
          </cell>
          <cell r="J158">
            <v>7560</v>
          </cell>
        </row>
        <row r="159">
          <cell r="D159">
            <v>5100358594</v>
          </cell>
          <cell r="E159" t="str">
            <v>52-9724-0-002</v>
          </cell>
          <cell r="F159">
            <v>5297240203</v>
          </cell>
          <cell r="G159" t="str">
            <v>24ct Mini - Canada</v>
          </cell>
          <cell r="J159">
            <v>5040</v>
          </cell>
        </row>
        <row r="160">
          <cell r="D160">
            <v>5100357701</v>
          </cell>
          <cell r="E160" t="str">
            <v>52-9824-0-006</v>
          </cell>
          <cell r="F160">
            <v>5298240209</v>
          </cell>
          <cell r="G160" t="str">
            <v>24ct Mini Fun Effect - USA.24</v>
          </cell>
          <cell r="J160">
            <v>16800</v>
          </cell>
        </row>
        <row r="161">
          <cell r="D161">
            <v>5100358367</v>
          </cell>
          <cell r="E161" t="str">
            <v>52-7412</v>
          </cell>
          <cell r="F161" t="str">
            <v>527412A</v>
          </cell>
          <cell r="G161" t="str">
            <v>12ct Regular - Aus</v>
          </cell>
          <cell r="J161">
            <v>60000</v>
          </cell>
        </row>
        <row r="162">
          <cell r="D162">
            <v>5100357704</v>
          </cell>
          <cell r="E162" t="str">
            <v>52-3420-0-001</v>
          </cell>
          <cell r="F162">
            <v>5234200201</v>
          </cell>
          <cell r="G162" t="str">
            <v>50ct Mini - USA</v>
          </cell>
          <cell r="J162">
            <v>29568</v>
          </cell>
        </row>
        <row r="163">
          <cell r="D163">
            <v>5100353908</v>
          </cell>
          <cell r="E163" t="str">
            <v>52-3470-A-001</v>
          </cell>
          <cell r="F163">
            <v>5234700202</v>
          </cell>
          <cell r="G163" t="str">
            <v>24ct Mini Smash Up - USA</v>
          </cell>
          <cell r="J163">
            <v>16800</v>
          </cell>
        </row>
        <row r="164">
          <cell r="D164">
            <v>5100357850</v>
          </cell>
          <cell r="E164" t="str">
            <v>04-5563-E-006</v>
          </cell>
          <cell r="F164" t="str">
            <v>04-5563-E-306</v>
          </cell>
          <cell r="G164" t="str">
            <v>32ct Regular - UK 26</v>
          </cell>
          <cell r="J164">
            <v>5004</v>
          </cell>
        </row>
        <row r="165">
          <cell r="D165">
            <v>5100353918</v>
          </cell>
          <cell r="E165" t="str">
            <v>52-7434</v>
          </cell>
          <cell r="F165">
            <v>527434</v>
          </cell>
          <cell r="G165" t="str">
            <v>32ct Sharepack - Aus</v>
          </cell>
          <cell r="J165">
            <v>3000</v>
          </cell>
        </row>
        <row r="166">
          <cell r="D166">
            <v>5100358596</v>
          </cell>
          <cell r="E166" t="str">
            <v>68-7524-0-003</v>
          </cell>
          <cell r="F166">
            <v>6875240203</v>
          </cell>
          <cell r="G166" t="str">
            <v>24ct Pencil - Canada</v>
          </cell>
          <cell r="J166">
            <v>11760</v>
          </cell>
        </row>
        <row r="167">
          <cell r="D167">
            <v>5100357851</v>
          </cell>
          <cell r="E167" t="str">
            <v>04-5563-E-006</v>
          </cell>
          <cell r="F167" t="str">
            <v>04-5563-E-306</v>
          </cell>
          <cell r="G167" t="str">
            <v>32ct Regular - UK 26</v>
          </cell>
          <cell r="J167">
            <v>5004</v>
          </cell>
        </row>
        <row r="168">
          <cell r="D168" t="str">
            <v>4700025475/7478</v>
          </cell>
          <cell r="E168" t="str">
            <v>68-7409-L-002</v>
          </cell>
          <cell r="F168">
            <v>6874090215</v>
          </cell>
          <cell r="G168" t="str">
            <v>30ct Pencil - Target</v>
          </cell>
          <cell r="J168">
            <v>10272</v>
          </cell>
        </row>
        <row r="169">
          <cell r="D169" t="str">
            <v>4700025475/7478</v>
          </cell>
          <cell r="E169" t="str">
            <v>52-9724-L-002</v>
          </cell>
          <cell r="F169">
            <v>5297240212</v>
          </cell>
          <cell r="G169" t="str">
            <v>24ct Mini - Target</v>
          </cell>
          <cell r="J169">
            <v>14820</v>
          </cell>
        </row>
        <row r="170">
          <cell r="D170" t="str">
            <v>4700025847/9162</v>
          </cell>
          <cell r="E170" t="str">
            <v>68-7418-L-002</v>
          </cell>
          <cell r="F170">
            <v>6874180205</v>
          </cell>
          <cell r="G170" t="str">
            <v>18ct Pencil - Target</v>
          </cell>
          <cell r="J170">
            <v>18528</v>
          </cell>
        </row>
        <row r="171">
          <cell r="D171" t="str">
            <v>4700025847/9162</v>
          </cell>
          <cell r="E171" t="str">
            <v>52-9724-L-002</v>
          </cell>
          <cell r="F171">
            <v>5297240212</v>
          </cell>
          <cell r="G171" t="str">
            <v>24ct Mini - Target</v>
          </cell>
          <cell r="J171">
            <v>14820</v>
          </cell>
        </row>
        <row r="172">
          <cell r="D172" t="str">
            <v>5100358562/1</v>
          </cell>
          <cell r="E172" t="str">
            <v>68-0400-1-038</v>
          </cell>
          <cell r="F172" t="str">
            <v>IN04</v>
          </cell>
          <cell r="G172" t="str">
            <v>Red</v>
          </cell>
          <cell r="J172">
            <v>312</v>
          </cell>
        </row>
        <row r="173">
          <cell r="D173" t="str">
            <v>5100358562/2</v>
          </cell>
          <cell r="E173" t="str">
            <v>68-0400-1-036</v>
          </cell>
          <cell r="F173" t="str">
            <v>IN04</v>
          </cell>
          <cell r="G173" t="str">
            <v>Orange</v>
          </cell>
          <cell r="J173">
            <v>312</v>
          </cell>
        </row>
        <row r="174">
          <cell r="D174" t="str">
            <v>5100358562/3</v>
          </cell>
          <cell r="E174" t="str">
            <v>68-0400-1-034</v>
          </cell>
          <cell r="F174" t="str">
            <v>IN04</v>
          </cell>
          <cell r="G174" t="str">
            <v>Yellow</v>
          </cell>
          <cell r="J174">
            <v>312</v>
          </cell>
        </row>
        <row r="175">
          <cell r="D175" t="str">
            <v>5100358562/4</v>
          </cell>
          <cell r="E175" t="str">
            <v>68-0400-1-045</v>
          </cell>
          <cell r="F175" t="str">
            <v>IN04</v>
          </cell>
          <cell r="G175" t="str">
            <v>Yellow Green</v>
          </cell>
          <cell r="J175">
            <v>312</v>
          </cell>
        </row>
        <row r="176">
          <cell r="D176" t="str">
            <v>5100358562/5</v>
          </cell>
          <cell r="E176" t="str">
            <v>68-0400-1-044</v>
          </cell>
          <cell r="F176" t="str">
            <v>IN04</v>
          </cell>
          <cell r="G176" t="str">
            <v>Green</v>
          </cell>
          <cell r="J176">
            <v>312</v>
          </cell>
        </row>
        <row r="177">
          <cell r="D177" t="str">
            <v>5100358562/6</v>
          </cell>
          <cell r="E177" t="str">
            <v>68-0400-1-042</v>
          </cell>
          <cell r="F177" t="str">
            <v>IN04</v>
          </cell>
          <cell r="G177" t="str">
            <v>Blue</v>
          </cell>
          <cell r="J177">
            <v>312</v>
          </cell>
        </row>
        <row r="178">
          <cell r="D178" t="str">
            <v>5100358562/7</v>
          </cell>
          <cell r="E178" t="str">
            <v>68-0400-1-040</v>
          </cell>
          <cell r="F178" t="str">
            <v>IN04</v>
          </cell>
          <cell r="G178" t="str">
            <v>Violet</v>
          </cell>
          <cell r="J178">
            <v>312</v>
          </cell>
        </row>
        <row r="179">
          <cell r="D179" t="str">
            <v>5100358562/8</v>
          </cell>
          <cell r="E179" t="str">
            <v>68-0400-1-007</v>
          </cell>
          <cell r="F179" t="str">
            <v>IN04</v>
          </cell>
          <cell r="G179" t="str">
            <v>Brown</v>
          </cell>
          <cell r="J179">
            <v>416</v>
          </cell>
        </row>
        <row r="180">
          <cell r="D180" t="str">
            <v>5100358562/9</v>
          </cell>
          <cell r="E180" t="str">
            <v>68-0400-1-051</v>
          </cell>
          <cell r="F180" t="str">
            <v>IN04</v>
          </cell>
          <cell r="G180" t="str">
            <v>Black</v>
          </cell>
          <cell r="J180">
            <v>312</v>
          </cell>
        </row>
        <row r="181">
          <cell r="D181" t="str">
            <v>510358562/10</v>
          </cell>
          <cell r="E181" t="str">
            <v>68-0400-1-037</v>
          </cell>
          <cell r="F181" t="str">
            <v>IN04</v>
          </cell>
          <cell r="G181" t="str">
            <v>Red Orange</v>
          </cell>
          <cell r="J181">
            <v>320</v>
          </cell>
        </row>
        <row r="182">
          <cell r="D182" t="str">
            <v>5100358562/11</v>
          </cell>
          <cell r="E182" t="str">
            <v>68-0400-1-074</v>
          </cell>
          <cell r="F182" t="str">
            <v>IN04</v>
          </cell>
          <cell r="G182" t="str">
            <v>Sky Blue</v>
          </cell>
          <cell r="J182">
            <v>352</v>
          </cell>
        </row>
        <row r="183">
          <cell r="D183" t="str">
            <v>5100357738/1</v>
          </cell>
          <cell r="E183" t="str">
            <v>52-3471-7-936</v>
          </cell>
          <cell r="F183" t="str">
            <v>IN03</v>
          </cell>
          <cell r="G183" t="str">
            <v>Orange Dreamsicle/ Orange</v>
          </cell>
          <cell r="J183">
            <v>264</v>
          </cell>
        </row>
        <row r="184">
          <cell r="D184" t="str">
            <v>5100357738/2</v>
          </cell>
          <cell r="E184" t="str">
            <v>52-3471-7-934</v>
          </cell>
          <cell r="F184" t="str">
            <v>IN03</v>
          </cell>
          <cell r="G184" t="str">
            <v>Banana Cream Pie/ Yellow</v>
          </cell>
          <cell r="J184">
            <v>256</v>
          </cell>
        </row>
        <row r="185">
          <cell r="D185" t="str">
            <v>5100357738/3</v>
          </cell>
          <cell r="E185" t="str">
            <v>52-3471-7-101</v>
          </cell>
          <cell r="F185" t="str">
            <v>IN03</v>
          </cell>
          <cell r="G185" t="str">
            <v>Mint Chocolate Chip/ Green</v>
          </cell>
          <cell r="J185">
            <v>264</v>
          </cell>
        </row>
        <row r="186">
          <cell r="D186" t="str">
            <v>5100357738/4</v>
          </cell>
          <cell r="E186" t="str">
            <v>52-3471-7-115</v>
          </cell>
          <cell r="F186" t="str">
            <v>IN03</v>
          </cell>
          <cell r="G186" t="str">
            <v>Berry Smoothie/ Blue</v>
          </cell>
          <cell r="J186">
            <v>264</v>
          </cell>
        </row>
        <row r="187">
          <cell r="D187">
            <v>4700025872</v>
          </cell>
          <cell r="E187" t="str">
            <v>52-9724-L-002</v>
          </cell>
          <cell r="F187">
            <v>5297240212</v>
          </cell>
          <cell r="G187" t="str">
            <v>24ct Mini - Target</v>
          </cell>
          <cell r="J187">
            <v>14820</v>
          </cell>
        </row>
        <row r="188">
          <cell r="D188" t="str">
            <v>4700025475/1</v>
          </cell>
          <cell r="E188" t="str">
            <v>68-7409-L-002</v>
          </cell>
          <cell r="F188">
            <v>6874090215</v>
          </cell>
          <cell r="G188" t="str">
            <v>30ct Pencil - Target</v>
          </cell>
          <cell r="J188">
            <v>10272</v>
          </cell>
        </row>
        <row r="189">
          <cell r="D189">
            <v>26108536</v>
          </cell>
          <cell r="E189" t="str">
            <v>BIC</v>
          </cell>
          <cell r="F189" t="str">
            <v>BIC</v>
          </cell>
          <cell r="G189" t="str">
            <v>Bic 8805085</v>
          </cell>
          <cell r="J189">
            <v>0</v>
          </cell>
        </row>
        <row r="190">
          <cell r="D190" t="str">
            <v>4700025475/2</v>
          </cell>
          <cell r="E190" t="str">
            <v>52-9724-L-002</v>
          </cell>
          <cell r="F190">
            <v>5297240212</v>
          </cell>
          <cell r="G190" t="str">
            <v>24ct Mini - Target</v>
          </cell>
          <cell r="J190">
            <v>14820</v>
          </cell>
        </row>
        <row r="191">
          <cell r="D191">
            <v>4700025847</v>
          </cell>
          <cell r="E191" t="str">
            <v>52-9724-L-002</v>
          </cell>
          <cell r="F191">
            <v>5297240212</v>
          </cell>
          <cell r="G191" t="str">
            <v>24ct Mini - Target</v>
          </cell>
          <cell r="J191">
            <v>14820</v>
          </cell>
        </row>
        <row r="192">
          <cell r="D192" t="str">
            <v>4700026018/1</v>
          </cell>
          <cell r="E192" t="str">
            <v>52-9724-L-002</v>
          </cell>
          <cell r="F192">
            <v>5297240212</v>
          </cell>
          <cell r="G192" t="str">
            <v>24ct Mini - Target</v>
          </cell>
          <cell r="J192">
            <v>14820</v>
          </cell>
        </row>
        <row r="193">
          <cell r="D193" t="str">
            <v>4700026018/2</v>
          </cell>
          <cell r="E193" t="str">
            <v>68-7418-L-002</v>
          </cell>
          <cell r="F193">
            <v>6874180205</v>
          </cell>
          <cell r="G193" t="str">
            <v>18ct Pencil - Target</v>
          </cell>
          <cell r="J193">
            <v>18528</v>
          </cell>
        </row>
        <row r="194">
          <cell r="D194" t="str">
            <v>4700026018/3</v>
          </cell>
          <cell r="E194" t="str">
            <v>68-7409-L-002</v>
          </cell>
          <cell r="F194">
            <v>6874090215</v>
          </cell>
          <cell r="G194" t="str">
            <v>30ct Pencil - Target</v>
          </cell>
          <cell r="J194">
            <v>10272</v>
          </cell>
        </row>
        <row r="195">
          <cell r="D195" t="str">
            <v>4700026091/1</v>
          </cell>
          <cell r="E195" t="str">
            <v>52-9724-L-002</v>
          </cell>
          <cell r="F195">
            <v>5297240212</v>
          </cell>
          <cell r="G195" t="str">
            <v>24ct Mini - Target</v>
          </cell>
          <cell r="J195">
            <v>14820</v>
          </cell>
        </row>
        <row r="196">
          <cell r="D196" t="str">
            <v>4700026091/2</v>
          </cell>
          <cell r="E196" t="str">
            <v>68-7418-L-002</v>
          </cell>
          <cell r="F196">
            <v>6874180205</v>
          </cell>
          <cell r="G196" t="str">
            <v>18ct Pencil - Target</v>
          </cell>
          <cell r="J196">
            <v>18528</v>
          </cell>
        </row>
        <row r="197">
          <cell r="D197" t="str">
            <v>4700026091/3</v>
          </cell>
          <cell r="E197" t="str">
            <v>68-7409-L-002</v>
          </cell>
          <cell r="F197">
            <v>6874090215</v>
          </cell>
          <cell r="G197" t="str">
            <v>30ct Pencil - Target</v>
          </cell>
          <cell r="J197">
            <v>16416</v>
          </cell>
        </row>
        <row r="198">
          <cell r="D198">
            <v>26108546</v>
          </cell>
          <cell r="E198" t="str">
            <v>BIC</v>
          </cell>
          <cell r="F198" t="str">
            <v>BIC</v>
          </cell>
          <cell r="G198" t="str">
            <v>Bic 8805085</v>
          </cell>
          <cell r="J198">
            <v>0</v>
          </cell>
        </row>
        <row r="199">
          <cell r="D199">
            <v>5100358369</v>
          </cell>
          <cell r="E199" t="str">
            <v>52-7412</v>
          </cell>
          <cell r="F199" t="str">
            <v>527412A</v>
          </cell>
          <cell r="G199" t="str">
            <v>12ct Regular - Aus</v>
          </cell>
          <cell r="J199">
            <v>60000</v>
          </cell>
        </row>
        <row r="200">
          <cell r="D200" t="str">
            <v>4700026254/1</v>
          </cell>
          <cell r="E200" t="str">
            <v>52-9724-L-002</v>
          </cell>
          <cell r="F200">
            <v>5297240212</v>
          </cell>
          <cell r="G200" t="str">
            <v>24ct Mini - Target</v>
          </cell>
          <cell r="J200">
            <v>7392</v>
          </cell>
        </row>
        <row r="201">
          <cell r="D201" t="str">
            <v>4700026254/2</v>
          </cell>
          <cell r="E201" t="str">
            <v>68-7418-L-002</v>
          </cell>
          <cell r="F201">
            <v>6874180205</v>
          </cell>
          <cell r="G201" t="str">
            <v>18ct Pencil - Target</v>
          </cell>
          <cell r="J201">
            <v>8628</v>
          </cell>
        </row>
        <row r="202">
          <cell r="D202" t="str">
            <v>4700026254/3</v>
          </cell>
          <cell r="E202" t="str">
            <v>68-7409-L-002</v>
          </cell>
          <cell r="F202">
            <v>6874090215</v>
          </cell>
          <cell r="G202" t="str">
            <v>30ct Pencil - Target</v>
          </cell>
          <cell r="J202">
            <v>5208</v>
          </cell>
        </row>
        <row r="203">
          <cell r="D203" t="str">
            <v>4700026253/1</v>
          </cell>
          <cell r="E203" t="str">
            <v>52-9724-L-002</v>
          </cell>
          <cell r="F203">
            <v>5297240212</v>
          </cell>
          <cell r="G203" t="str">
            <v>24ct Mini - Target</v>
          </cell>
          <cell r="J203">
            <v>9456</v>
          </cell>
        </row>
        <row r="204">
          <cell r="D204" t="str">
            <v>4700026253/2</v>
          </cell>
          <cell r="E204" t="str">
            <v>68-7418-L-002</v>
          </cell>
          <cell r="F204">
            <v>6874180205</v>
          </cell>
          <cell r="G204" t="str">
            <v>18ct Pencil - Target</v>
          </cell>
          <cell r="J204">
            <v>9900</v>
          </cell>
        </row>
        <row r="205">
          <cell r="D205" t="str">
            <v>4700026253/3</v>
          </cell>
          <cell r="E205" t="str">
            <v>68-7409-L-002</v>
          </cell>
          <cell r="F205">
            <v>6874090215</v>
          </cell>
          <cell r="G205" t="str">
            <v>30ct Pencil - Target</v>
          </cell>
          <cell r="J205">
            <v>8208</v>
          </cell>
        </row>
        <row r="206">
          <cell r="D206" t="str">
            <v>5100358367C</v>
          </cell>
          <cell r="E206" t="str">
            <v>52-4826-K-000</v>
          </cell>
          <cell r="F206" t="str">
            <v>527412A</v>
          </cell>
          <cell r="G206" t="str">
            <v>12ct Regular - SRT BTS2026 Kmart</v>
          </cell>
          <cell r="J206">
            <v>18000</v>
          </cell>
        </row>
        <row r="207">
          <cell r="D207" t="str">
            <v>4700026166/1</v>
          </cell>
          <cell r="E207" t="str">
            <v>52-9724-L-002</v>
          </cell>
          <cell r="F207">
            <v>5297240212</v>
          </cell>
          <cell r="G207" t="str">
            <v>24ct Mini - Target</v>
          </cell>
          <cell r="J207">
            <v>14820</v>
          </cell>
        </row>
        <row r="208">
          <cell r="D208" t="str">
            <v>4700026166/2</v>
          </cell>
          <cell r="E208" t="str">
            <v>68-7418-L-002</v>
          </cell>
          <cell r="F208">
            <v>6874180205</v>
          </cell>
          <cell r="G208" t="str">
            <v>18ct Pencil - Target</v>
          </cell>
          <cell r="J208">
            <v>18528</v>
          </cell>
        </row>
        <row r="209">
          <cell r="D209" t="str">
            <v>4700026166/3</v>
          </cell>
          <cell r="E209" t="str">
            <v>68-7409-L-002</v>
          </cell>
          <cell r="F209">
            <v>6874090215</v>
          </cell>
          <cell r="G209" t="str">
            <v>30ct Pencil - Target</v>
          </cell>
          <cell r="J209">
            <v>10272</v>
          </cell>
        </row>
        <row r="210">
          <cell r="D210" t="str">
            <v>5100358367D</v>
          </cell>
          <cell r="E210" t="str">
            <v>52-4827-K-000</v>
          </cell>
          <cell r="F210" t="str">
            <v>527412A</v>
          </cell>
          <cell r="G210" t="str">
            <v>12ct Regular - SRT BTS2026 Office</v>
          </cell>
          <cell r="J210">
            <v>8448</v>
          </cell>
        </row>
        <row r="211">
          <cell r="D211">
            <v>4700026173</v>
          </cell>
          <cell r="E211" t="str">
            <v>68-7409-L-004</v>
          </cell>
          <cell r="F211">
            <v>6874090218</v>
          </cell>
          <cell r="G211" t="str">
            <v>30ct Pencil - WMT RFID</v>
          </cell>
          <cell r="J211">
            <v>7824</v>
          </cell>
        </row>
        <row r="212">
          <cell r="D212">
            <v>4700026174</v>
          </cell>
          <cell r="E212" t="str">
            <v>68-7409-L-004</v>
          </cell>
          <cell r="F212">
            <v>6874090218</v>
          </cell>
          <cell r="G212" t="str">
            <v>30ct Pencil - WMT RFID</v>
          </cell>
          <cell r="J212">
            <v>15648</v>
          </cell>
        </row>
        <row r="213">
          <cell r="D213">
            <v>4700026175</v>
          </cell>
          <cell r="E213" t="str">
            <v>68-7409-L-004</v>
          </cell>
          <cell r="F213">
            <v>6874090218</v>
          </cell>
          <cell r="G213" t="str">
            <v>30ct Pencil - WMT RFID</v>
          </cell>
          <cell r="J213">
            <v>7824</v>
          </cell>
        </row>
        <row r="214">
          <cell r="D214">
            <v>4700026176</v>
          </cell>
          <cell r="E214" t="str">
            <v>68-7409-L-004</v>
          </cell>
          <cell r="F214">
            <v>6874090218</v>
          </cell>
          <cell r="G214" t="str">
            <v>30ct Pencil - WMT RFID</v>
          </cell>
          <cell r="J214">
            <v>7824</v>
          </cell>
        </row>
        <row r="215">
          <cell r="D215">
            <v>5100358595</v>
          </cell>
          <cell r="E215" t="str">
            <v>52-9724-C-000</v>
          </cell>
          <cell r="F215">
            <v>5297240203</v>
          </cell>
          <cell r="G215" t="str">
            <v>24ct Mini - Canada</v>
          </cell>
          <cell r="J215">
            <v>11760</v>
          </cell>
        </row>
        <row r="216">
          <cell r="D216">
            <v>5100361337</v>
          </cell>
          <cell r="E216" t="str">
            <v>04-1421-0-000</v>
          </cell>
          <cell r="F216" t="str">
            <v>0414210300</v>
          </cell>
          <cell r="G216" t="str">
            <v>Click Carrying Case</v>
          </cell>
          <cell r="J216">
            <v>6480</v>
          </cell>
        </row>
        <row r="217">
          <cell r="D217">
            <v>5100356782</v>
          </cell>
          <cell r="E217" t="str">
            <v>04-1421-R-000</v>
          </cell>
          <cell r="F217" t="str">
            <v>041421R300</v>
          </cell>
          <cell r="G217" t="str">
            <v>Click Carrying Case - RFID</v>
          </cell>
          <cell r="J217">
            <v>25920</v>
          </cell>
        </row>
        <row r="218">
          <cell r="D218">
            <v>5100356783</v>
          </cell>
          <cell r="E218" t="str">
            <v>04-1421-R-000</v>
          </cell>
          <cell r="F218" t="str">
            <v>041421R300</v>
          </cell>
          <cell r="G218" t="str">
            <v>Click Carrying Case - RFID</v>
          </cell>
          <cell r="J218">
            <v>25920</v>
          </cell>
        </row>
        <row r="219">
          <cell r="D219">
            <v>5100360993</v>
          </cell>
          <cell r="E219" t="str">
            <v>68-7408</v>
          </cell>
          <cell r="F219" t="str">
            <v>68-7408-A</v>
          </cell>
          <cell r="G219" t="str">
            <v>12ct Pencil - Aus</v>
          </cell>
          <cell r="J219">
            <v>5016</v>
          </cell>
        </row>
        <row r="220">
          <cell r="D220">
            <v>5100361450</v>
          </cell>
          <cell r="E220" t="str">
            <v>52-7412</v>
          </cell>
          <cell r="F220" t="str">
            <v>527412A</v>
          </cell>
          <cell r="G220" t="str">
            <v>12ct Regular - Aus</v>
          </cell>
          <cell r="J220">
            <v>15000</v>
          </cell>
        </row>
        <row r="221">
          <cell r="D221">
            <v>5100360808</v>
          </cell>
          <cell r="E221" t="str">
            <v>68-7524-0-003</v>
          </cell>
          <cell r="F221">
            <v>6875240203</v>
          </cell>
          <cell r="G221" t="str">
            <v>24ct Pencil - Canada</v>
          </cell>
          <cell r="J221">
            <v>10080</v>
          </cell>
        </row>
        <row r="222">
          <cell r="D222">
            <v>5100360809</v>
          </cell>
          <cell r="E222" t="str">
            <v>68-8269-0-003</v>
          </cell>
          <cell r="F222">
            <v>6882690203</v>
          </cell>
          <cell r="G222" t="str">
            <v>12 Pencil Silly - Canada</v>
          </cell>
          <cell r="J222">
            <v>10560</v>
          </cell>
        </row>
        <row r="223">
          <cell r="D223" t="str">
            <v>5100348656/1</v>
          </cell>
          <cell r="E223" t="str">
            <v>68-7424-M-009</v>
          </cell>
          <cell r="F223" t="str">
            <v>68-7424-M-009</v>
          </cell>
          <cell r="G223" t="str">
            <v>24ct Pencil - Mexico</v>
          </cell>
          <cell r="J223">
            <v>10032</v>
          </cell>
        </row>
        <row r="224">
          <cell r="D224" t="str">
            <v>5100348656/2</v>
          </cell>
          <cell r="E224" t="str">
            <v>52-9738-0-003</v>
          </cell>
          <cell r="F224" t="str">
            <v>529738M</v>
          </cell>
          <cell r="G224" t="str">
            <v>8ct Regular Extremos</v>
          </cell>
          <cell r="J224">
            <v>10032</v>
          </cell>
        </row>
        <row r="225">
          <cell r="D225">
            <v>4700026359</v>
          </cell>
          <cell r="E225" t="str">
            <v>68-7409-L-002</v>
          </cell>
          <cell r="F225">
            <v>6874090215</v>
          </cell>
          <cell r="G225" t="str">
            <v>30ct Pencil - Target</v>
          </cell>
          <cell r="J225">
            <v>4824</v>
          </cell>
        </row>
        <row r="226">
          <cell r="D226">
            <v>4700026360</v>
          </cell>
          <cell r="E226" t="str">
            <v>68-7409-L-002</v>
          </cell>
          <cell r="F226">
            <v>6874090215</v>
          </cell>
          <cell r="G226" t="str">
            <v>30ct Pencil - Target</v>
          </cell>
          <cell r="J226">
            <v>5448</v>
          </cell>
        </row>
        <row r="227">
          <cell r="D227">
            <v>5100358365</v>
          </cell>
          <cell r="E227" t="str">
            <v>52-4825-K-000</v>
          </cell>
          <cell r="F227" t="str">
            <v>529701A</v>
          </cell>
          <cell r="G227" t="str">
            <v>16ct Regular - SRT BTS2027</v>
          </cell>
          <cell r="J227">
            <v>12000</v>
          </cell>
        </row>
        <row r="228">
          <cell r="D228">
            <v>26108542</v>
          </cell>
          <cell r="E228" t="str">
            <v>BIC</v>
          </cell>
          <cell r="F228" t="str">
            <v>BIC</v>
          </cell>
          <cell r="G228" t="str">
            <v>Bic 8805085</v>
          </cell>
          <cell r="J228">
            <v>46200</v>
          </cell>
        </row>
        <row r="229">
          <cell r="D229">
            <v>5100362040</v>
          </cell>
          <cell r="E229" t="str">
            <v>52-0712-0-009</v>
          </cell>
          <cell r="F229">
            <v>520712</v>
          </cell>
          <cell r="G229" t="str">
            <v>12ct Mini 2025 - Mex</v>
          </cell>
          <cell r="J229">
            <v>10008</v>
          </cell>
        </row>
        <row r="230">
          <cell r="D230">
            <v>5100360360</v>
          </cell>
          <cell r="E230" t="str">
            <v>04-5225-0-005</v>
          </cell>
          <cell r="F230" t="str">
            <v>0452250300</v>
          </cell>
          <cell r="G230" t="str">
            <v>65ct Giftables Storage Set</v>
          </cell>
          <cell r="J230">
            <v>2604</v>
          </cell>
        </row>
        <row r="231">
          <cell r="D231">
            <v>5100361744</v>
          </cell>
          <cell r="E231" t="str">
            <v>52-7412</v>
          </cell>
          <cell r="F231" t="str">
            <v>527412A</v>
          </cell>
          <cell r="G231" t="str">
            <v>12ct Regular - Aus</v>
          </cell>
          <cell r="J231">
            <v>15000</v>
          </cell>
        </row>
        <row r="232">
          <cell r="D232">
            <v>5100362039</v>
          </cell>
          <cell r="E232" t="str">
            <v>52-0784-M-008</v>
          </cell>
          <cell r="F232">
            <v>520784</v>
          </cell>
          <cell r="G232" t="str">
            <v>12ct Regular - Mex 25</v>
          </cell>
          <cell r="J232">
            <v>10368</v>
          </cell>
        </row>
        <row r="233">
          <cell r="D233">
            <v>4700026496</v>
          </cell>
          <cell r="E233" t="str">
            <v>68-7409-L-004</v>
          </cell>
          <cell r="F233">
            <v>6874090218</v>
          </cell>
          <cell r="G233" t="str">
            <v>30ct Pencil - WMT RFID</v>
          </cell>
          <cell r="J233">
            <v>3912</v>
          </cell>
        </row>
        <row r="234">
          <cell r="D234" t="str">
            <v>4700026501/1</v>
          </cell>
          <cell r="E234" t="str">
            <v>68-7418-L-002</v>
          </cell>
          <cell r="F234">
            <v>6874180205</v>
          </cell>
          <cell r="G234" t="str">
            <v>18ct Pencil - Target</v>
          </cell>
          <cell r="J234">
            <v>7164</v>
          </cell>
        </row>
        <row r="235">
          <cell r="D235" t="str">
            <v>4700026501/2</v>
          </cell>
          <cell r="E235" t="str">
            <v>68-7409-L-002</v>
          </cell>
          <cell r="F235">
            <v>6874090215</v>
          </cell>
          <cell r="G235" t="str">
            <v>30ct Pencil - Target</v>
          </cell>
          <cell r="J235">
            <v>3912</v>
          </cell>
        </row>
        <row r="236">
          <cell r="D236" t="str">
            <v>4700026501/3</v>
          </cell>
          <cell r="E236" t="str">
            <v>52-9724-L-002</v>
          </cell>
          <cell r="F236">
            <v>5297240212</v>
          </cell>
          <cell r="G236" t="str">
            <v>24ct Mini - Target</v>
          </cell>
          <cell r="J236">
            <v>7392</v>
          </cell>
        </row>
        <row r="237">
          <cell r="D237" t="str">
            <v>4700026502/1</v>
          </cell>
          <cell r="E237" t="str">
            <v>68-7418-L-002</v>
          </cell>
          <cell r="F237">
            <v>6874180205</v>
          </cell>
          <cell r="G237" t="str">
            <v>18ct Pencil - Target</v>
          </cell>
          <cell r="J237">
            <v>11364</v>
          </cell>
        </row>
        <row r="238">
          <cell r="D238" t="str">
            <v>4700026502/2</v>
          </cell>
          <cell r="E238" t="str">
            <v>68-7409-L-002</v>
          </cell>
          <cell r="F238">
            <v>6874090215</v>
          </cell>
          <cell r="G238" t="str">
            <v>30ct Pencil - Target</v>
          </cell>
          <cell r="J238">
            <v>6600</v>
          </cell>
        </row>
        <row r="239">
          <cell r="D239" t="str">
            <v>4700026502/3</v>
          </cell>
          <cell r="E239" t="str">
            <v>52-9724-L-002</v>
          </cell>
          <cell r="F239">
            <v>5297240212</v>
          </cell>
          <cell r="G239" t="str">
            <v>24ct Mini - Target</v>
          </cell>
          <cell r="J239">
            <v>10620</v>
          </cell>
        </row>
        <row r="240">
          <cell r="F240">
            <v>0</v>
          </cell>
          <cell r="G240">
            <v>0</v>
          </cell>
          <cell r="J240">
            <v>0</v>
          </cell>
        </row>
        <row r="241">
          <cell r="F241">
            <v>0</v>
          </cell>
          <cell r="G241">
            <v>0</v>
          </cell>
          <cell r="J241">
            <v>0</v>
          </cell>
        </row>
        <row r="242">
          <cell r="F242">
            <v>0</v>
          </cell>
          <cell r="G242">
            <v>0</v>
          </cell>
          <cell r="J242">
            <v>0</v>
          </cell>
        </row>
        <row r="243">
          <cell r="F243">
            <v>0</v>
          </cell>
          <cell r="G243">
            <v>0</v>
          </cell>
          <cell r="J243">
            <v>0</v>
          </cell>
        </row>
        <row r="244">
          <cell r="F244">
            <v>0</v>
          </cell>
          <cell r="G244">
            <v>0</v>
          </cell>
          <cell r="J244">
            <v>0</v>
          </cell>
        </row>
        <row r="245">
          <cell r="F245">
            <v>0</v>
          </cell>
          <cell r="G245">
            <v>0</v>
          </cell>
          <cell r="J245">
            <v>0</v>
          </cell>
        </row>
        <row r="246">
          <cell r="F246">
            <v>0</v>
          </cell>
          <cell r="G246">
            <v>0</v>
          </cell>
          <cell r="J246">
            <v>0</v>
          </cell>
        </row>
        <row r="247">
          <cell r="F247">
            <v>0</v>
          </cell>
          <cell r="G247">
            <v>0</v>
          </cell>
          <cell r="J247">
            <v>0</v>
          </cell>
        </row>
        <row r="248">
          <cell r="F248">
            <v>0</v>
          </cell>
          <cell r="G248">
            <v>0</v>
          </cell>
          <cell r="J248">
            <v>0</v>
          </cell>
        </row>
        <row r="249">
          <cell r="F249">
            <v>0</v>
          </cell>
          <cell r="G249">
            <v>0</v>
          </cell>
          <cell r="J249">
            <v>0</v>
          </cell>
        </row>
        <row r="250">
          <cell r="F250">
            <v>0</v>
          </cell>
          <cell r="G250">
            <v>0</v>
          </cell>
          <cell r="J250">
            <v>0</v>
          </cell>
        </row>
        <row r="251">
          <cell r="F251">
            <v>0</v>
          </cell>
          <cell r="G251">
            <v>0</v>
          </cell>
          <cell r="J251">
            <v>0</v>
          </cell>
        </row>
        <row r="252">
          <cell r="F252">
            <v>0</v>
          </cell>
          <cell r="G252">
            <v>0</v>
          </cell>
          <cell r="J252">
            <v>0</v>
          </cell>
        </row>
        <row r="253">
          <cell r="F253">
            <v>0</v>
          </cell>
          <cell r="G253">
            <v>0</v>
          </cell>
          <cell r="J253">
            <v>0</v>
          </cell>
        </row>
        <row r="254">
          <cell r="F254">
            <v>0</v>
          </cell>
          <cell r="G254">
            <v>0</v>
          </cell>
          <cell r="J254">
            <v>0</v>
          </cell>
        </row>
        <row r="255">
          <cell r="F255">
            <v>0</v>
          </cell>
          <cell r="G255">
            <v>0</v>
          </cell>
          <cell r="J255">
            <v>0</v>
          </cell>
        </row>
        <row r="256">
          <cell r="F256">
            <v>0</v>
          </cell>
          <cell r="G256">
            <v>0</v>
          </cell>
          <cell r="J256">
            <v>0</v>
          </cell>
        </row>
        <row r="257">
          <cell r="F257">
            <v>0</v>
          </cell>
          <cell r="G257">
            <v>0</v>
          </cell>
          <cell r="J257">
            <v>0</v>
          </cell>
        </row>
        <row r="258">
          <cell r="F258">
            <v>0</v>
          </cell>
          <cell r="G258">
            <v>0</v>
          </cell>
          <cell r="J258">
            <v>0</v>
          </cell>
        </row>
        <row r="259">
          <cell r="F259">
            <v>0</v>
          </cell>
          <cell r="G259">
            <v>0</v>
          </cell>
          <cell r="J259">
            <v>0</v>
          </cell>
        </row>
        <row r="260">
          <cell r="F260">
            <v>0</v>
          </cell>
          <cell r="G260">
            <v>0</v>
          </cell>
          <cell r="J260">
            <v>0</v>
          </cell>
        </row>
        <row r="261">
          <cell r="F261">
            <v>0</v>
          </cell>
          <cell r="G261">
            <v>0</v>
          </cell>
          <cell r="J261">
            <v>0</v>
          </cell>
        </row>
        <row r="262">
          <cell r="F262">
            <v>0</v>
          </cell>
          <cell r="G262">
            <v>0</v>
          </cell>
          <cell r="J262">
            <v>0</v>
          </cell>
        </row>
        <row r="263">
          <cell r="F263">
            <v>0</v>
          </cell>
          <cell r="G263">
            <v>0</v>
          </cell>
          <cell r="J263">
            <v>0</v>
          </cell>
        </row>
        <row r="264">
          <cell r="F264">
            <v>0</v>
          </cell>
          <cell r="G264">
            <v>0</v>
          </cell>
          <cell r="J264">
            <v>0</v>
          </cell>
        </row>
        <row r="265">
          <cell r="F265">
            <v>0</v>
          </cell>
          <cell r="G265">
            <v>0</v>
          </cell>
          <cell r="J265">
            <v>0</v>
          </cell>
        </row>
        <row r="266">
          <cell r="F266">
            <v>0</v>
          </cell>
          <cell r="G266">
            <v>0</v>
          </cell>
          <cell r="J266">
            <v>0</v>
          </cell>
        </row>
        <row r="267">
          <cell r="F267">
            <v>0</v>
          </cell>
          <cell r="G267">
            <v>0</v>
          </cell>
          <cell r="J267">
            <v>0</v>
          </cell>
        </row>
        <row r="268">
          <cell r="F268">
            <v>0</v>
          </cell>
          <cell r="G268">
            <v>0</v>
          </cell>
          <cell r="J268">
            <v>0</v>
          </cell>
        </row>
        <row r="269">
          <cell r="F269">
            <v>0</v>
          </cell>
          <cell r="G269">
            <v>0</v>
          </cell>
          <cell r="J269">
            <v>0</v>
          </cell>
        </row>
        <row r="270">
          <cell r="F270">
            <v>0</v>
          </cell>
          <cell r="G270">
            <v>0</v>
          </cell>
          <cell r="J270">
            <v>0</v>
          </cell>
        </row>
        <row r="271">
          <cell r="F271">
            <v>0</v>
          </cell>
          <cell r="G271">
            <v>0</v>
          </cell>
          <cell r="J271">
            <v>0</v>
          </cell>
        </row>
        <row r="272">
          <cell r="F272">
            <v>0</v>
          </cell>
          <cell r="G272">
            <v>0</v>
          </cell>
          <cell r="J272">
            <v>0</v>
          </cell>
        </row>
        <row r="273">
          <cell r="F273">
            <v>0</v>
          </cell>
          <cell r="G273">
            <v>0</v>
          </cell>
          <cell r="J273">
            <v>0</v>
          </cell>
        </row>
        <row r="274">
          <cell r="F274">
            <v>0</v>
          </cell>
          <cell r="G274">
            <v>0</v>
          </cell>
          <cell r="J274">
            <v>0</v>
          </cell>
        </row>
        <row r="275">
          <cell r="F275">
            <v>0</v>
          </cell>
          <cell r="G275">
            <v>0</v>
          </cell>
          <cell r="J275">
            <v>0</v>
          </cell>
        </row>
        <row r="276">
          <cell r="F276">
            <v>0</v>
          </cell>
          <cell r="G276">
            <v>0</v>
          </cell>
          <cell r="J276">
            <v>0</v>
          </cell>
        </row>
        <row r="277">
          <cell r="F277">
            <v>0</v>
          </cell>
          <cell r="G277">
            <v>0</v>
          </cell>
          <cell r="J277">
            <v>0</v>
          </cell>
        </row>
        <row r="278">
          <cell r="F278">
            <v>0</v>
          </cell>
          <cell r="G278">
            <v>0</v>
          </cell>
          <cell r="J278">
            <v>0</v>
          </cell>
        </row>
        <row r="279">
          <cell r="F279">
            <v>0</v>
          </cell>
          <cell r="G279">
            <v>0</v>
          </cell>
          <cell r="J279">
            <v>0</v>
          </cell>
        </row>
        <row r="280">
          <cell r="F280">
            <v>0</v>
          </cell>
          <cell r="G280">
            <v>0</v>
          </cell>
          <cell r="J280">
            <v>0</v>
          </cell>
        </row>
        <row r="281">
          <cell r="F281">
            <v>0</v>
          </cell>
          <cell r="G281">
            <v>0</v>
          </cell>
          <cell r="J281">
            <v>0</v>
          </cell>
        </row>
        <row r="282">
          <cell r="F282">
            <v>0</v>
          </cell>
          <cell r="G282">
            <v>0</v>
          </cell>
          <cell r="J282">
            <v>0</v>
          </cell>
        </row>
        <row r="283">
          <cell r="F283">
            <v>0</v>
          </cell>
          <cell r="G283">
            <v>0</v>
          </cell>
          <cell r="J283">
            <v>0</v>
          </cell>
        </row>
        <row r="284">
          <cell r="F284">
            <v>0</v>
          </cell>
          <cell r="G284">
            <v>0</v>
          </cell>
          <cell r="J284">
            <v>0</v>
          </cell>
        </row>
        <row r="285">
          <cell r="F285">
            <v>0</v>
          </cell>
          <cell r="G285">
            <v>0</v>
          </cell>
          <cell r="J285">
            <v>0</v>
          </cell>
        </row>
        <row r="286">
          <cell r="F286">
            <v>0</v>
          </cell>
          <cell r="G286">
            <v>0</v>
          </cell>
          <cell r="J286">
            <v>0</v>
          </cell>
        </row>
        <row r="287">
          <cell r="F287">
            <v>0</v>
          </cell>
          <cell r="G287">
            <v>0</v>
          </cell>
          <cell r="J287">
            <v>0</v>
          </cell>
        </row>
        <row r="288">
          <cell r="F288">
            <v>0</v>
          </cell>
          <cell r="G288">
            <v>0</v>
          </cell>
          <cell r="J288">
            <v>0</v>
          </cell>
        </row>
        <row r="289">
          <cell r="F289">
            <v>0</v>
          </cell>
          <cell r="G289">
            <v>0</v>
          </cell>
          <cell r="J289">
            <v>0</v>
          </cell>
        </row>
        <row r="290">
          <cell r="F290">
            <v>0</v>
          </cell>
          <cell r="G290">
            <v>0</v>
          </cell>
          <cell r="J290">
            <v>0</v>
          </cell>
        </row>
        <row r="291">
          <cell r="F291">
            <v>0</v>
          </cell>
          <cell r="G291">
            <v>0</v>
          </cell>
          <cell r="J291">
            <v>0</v>
          </cell>
        </row>
        <row r="292">
          <cell r="F292">
            <v>0</v>
          </cell>
          <cell r="G292">
            <v>0</v>
          </cell>
          <cell r="J292">
            <v>0</v>
          </cell>
        </row>
        <row r="293">
          <cell r="F293">
            <v>0</v>
          </cell>
          <cell r="G293">
            <v>0</v>
          </cell>
          <cell r="J293">
            <v>0</v>
          </cell>
        </row>
        <row r="294">
          <cell r="F294">
            <v>0</v>
          </cell>
          <cell r="G294">
            <v>0</v>
          </cell>
          <cell r="J294">
            <v>0</v>
          </cell>
        </row>
        <row r="295">
          <cell r="F295">
            <v>0</v>
          </cell>
          <cell r="G295">
            <v>0</v>
          </cell>
          <cell r="J295">
            <v>0</v>
          </cell>
        </row>
        <row r="296">
          <cell r="F296">
            <v>0</v>
          </cell>
          <cell r="G296">
            <v>0</v>
          </cell>
          <cell r="J296">
            <v>0</v>
          </cell>
        </row>
        <row r="297">
          <cell r="F297">
            <v>0</v>
          </cell>
          <cell r="G297">
            <v>0</v>
          </cell>
          <cell r="J297">
            <v>0</v>
          </cell>
        </row>
        <row r="298">
          <cell r="F298">
            <v>0</v>
          </cell>
          <cell r="G298">
            <v>0</v>
          </cell>
          <cell r="J298">
            <v>0</v>
          </cell>
        </row>
        <row r="299">
          <cell r="F299">
            <v>0</v>
          </cell>
          <cell r="G299">
            <v>0</v>
          </cell>
          <cell r="J299">
            <v>0</v>
          </cell>
        </row>
        <row r="300">
          <cell r="F300">
            <v>0</v>
          </cell>
          <cell r="G300">
            <v>0</v>
          </cell>
          <cell r="J300">
            <v>0</v>
          </cell>
        </row>
        <row r="301">
          <cell r="F301">
            <v>0</v>
          </cell>
          <cell r="G301">
            <v>0</v>
          </cell>
          <cell r="J301">
            <v>0</v>
          </cell>
        </row>
        <row r="302">
          <cell r="F302">
            <v>0</v>
          </cell>
          <cell r="G302">
            <v>0</v>
          </cell>
          <cell r="J302">
            <v>0</v>
          </cell>
        </row>
        <row r="303">
          <cell r="F303">
            <v>0</v>
          </cell>
          <cell r="G303">
            <v>0</v>
          </cell>
          <cell r="J303">
            <v>0</v>
          </cell>
        </row>
        <row r="304">
          <cell r="F304">
            <v>0</v>
          </cell>
          <cell r="G304">
            <v>0</v>
          </cell>
          <cell r="J304">
            <v>0</v>
          </cell>
        </row>
        <row r="305">
          <cell r="F305">
            <v>0</v>
          </cell>
          <cell r="G305">
            <v>0</v>
          </cell>
          <cell r="J305">
            <v>0</v>
          </cell>
        </row>
        <row r="306">
          <cell r="F306">
            <v>0</v>
          </cell>
          <cell r="G306">
            <v>0</v>
          </cell>
          <cell r="J306">
            <v>0</v>
          </cell>
        </row>
        <row r="307">
          <cell r="F307">
            <v>0</v>
          </cell>
          <cell r="G307">
            <v>0</v>
          </cell>
          <cell r="J307">
            <v>0</v>
          </cell>
        </row>
        <row r="308">
          <cell r="F308">
            <v>0</v>
          </cell>
          <cell r="G308">
            <v>0</v>
          </cell>
          <cell r="J308">
            <v>0</v>
          </cell>
        </row>
        <row r="309">
          <cell r="F309">
            <v>0</v>
          </cell>
          <cell r="G309">
            <v>0</v>
          </cell>
          <cell r="J309">
            <v>0</v>
          </cell>
        </row>
        <row r="310">
          <cell r="F310">
            <v>0</v>
          </cell>
          <cell r="G310">
            <v>0</v>
          </cell>
          <cell r="J310">
            <v>0</v>
          </cell>
        </row>
        <row r="311">
          <cell r="F311">
            <v>0</v>
          </cell>
          <cell r="G311">
            <v>0</v>
          </cell>
          <cell r="J311">
            <v>0</v>
          </cell>
        </row>
        <row r="312">
          <cell r="F312">
            <v>0</v>
          </cell>
          <cell r="G312">
            <v>0</v>
          </cell>
          <cell r="J312">
            <v>0</v>
          </cell>
        </row>
        <row r="313">
          <cell r="F313">
            <v>0</v>
          </cell>
          <cell r="G313">
            <v>0</v>
          </cell>
          <cell r="J313">
            <v>0</v>
          </cell>
        </row>
        <row r="314">
          <cell r="F314">
            <v>0</v>
          </cell>
          <cell r="G314">
            <v>0</v>
          </cell>
          <cell r="J314">
            <v>0</v>
          </cell>
        </row>
        <row r="315">
          <cell r="F315">
            <v>0</v>
          </cell>
          <cell r="G315">
            <v>0</v>
          </cell>
          <cell r="J315">
            <v>0</v>
          </cell>
        </row>
        <row r="316">
          <cell r="F316">
            <v>0</v>
          </cell>
          <cell r="G316">
            <v>0</v>
          </cell>
          <cell r="J316">
            <v>0</v>
          </cell>
        </row>
        <row r="317">
          <cell r="F317">
            <v>0</v>
          </cell>
          <cell r="G317">
            <v>0</v>
          </cell>
          <cell r="J317">
            <v>0</v>
          </cell>
        </row>
        <row r="318">
          <cell r="F318">
            <v>0</v>
          </cell>
          <cell r="G318">
            <v>0</v>
          </cell>
          <cell r="J318">
            <v>0</v>
          </cell>
        </row>
        <row r="319">
          <cell r="F319">
            <v>0</v>
          </cell>
          <cell r="G319">
            <v>0</v>
          </cell>
          <cell r="J319">
            <v>0</v>
          </cell>
        </row>
        <row r="320">
          <cell r="F320">
            <v>0</v>
          </cell>
          <cell r="G320">
            <v>0</v>
          </cell>
          <cell r="J320">
            <v>0</v>
          </cell>
        </row>
        <row r="321">
          <cell r="F321">
            <v>0</v>
          </cell>
          <cell r="G321">
            <v>0</v>
          </cell>
          <cell r="J321">
            <v>0</v>
          </cell>
        </row>
        <row r="322">
          <cell r="F322">
            <v>0</v>
          </cell>
          <cell r="G322">
            <v>0</v>
          </cell>
          <cell r="J322">
            <v>0</v>
          </cell>
        </row>
        <row r="323">
          <cell r="F323">
            <v>0</v>
          </cell>
          <cell r="G323">
            <v>0</v>
          </cell>
          <cell r="J323">
            <v>0</v>
          </cell>
        </row>
        <row r="324">
          <cell r="F324">
            <v>0</v>
          </cell>
          <cell r="G324">
            <v>0</v>
          </cell>
          <cell r="J324">
            <v>0</v>
          </cell>
        </row>
        <row r="325">
          <cell r="F325">
            <v>0</v>
          </cell>
          <cell r="G325">
            <v>0</v>
          </cell>
          <cell r="J325">
            <v>0</v>
          </cell>
        </row>
        <row r="326">
          <cell r="F326">
            <v>0</v>
          </cell>
          <cell r="G326">
            <v>0</v>
          </cell>
          <cell r="J326">
            <v>0</v>
          </cell>
        </row>
        <row r="327">
          <cell r="F327">
            <v>0</v>
          </cell>
          <cell r="G327">
            <v>0</v>
          </cell>
          <cell r="J327">
            <v>0</v>
          </cell>
        </row>
        <row r="328">
          <cell r="F328">
            <v>0</v>
          </cell>
          <cell r="G328">
            <v>0</v>
          </cell>
          <cell r="J328">
            <v>0</v>
          </cell>
        </row>
        <row r="329">
          <cell r="F329">
            <v>0</v>
          </cell>
          <cell r="G329">
            <v>0</v>
          </cell>
          <cell r="J329">
            <v>0</v>
          </cell>
        </row>
        <row r="330">
          <cell r="F330">
            <v>0</v>
          </cell>
          <cell r="G330">
            <v>0</v>
          </cell>
          <cell r="J330">
            <v>0</v>
          </cell>
        </row>
        <row r="331">
          <cell r="F331">
            <v>0</v>
          </cell>
          <cell r="G331">
            <v>0</v>
          </cell>
          <cell r="J331">
            <v>0</v>
          </cell>
        </row>
        <row r="332">
          <cell r="F332">
            <v>0</v>
          </cell>
          <cell r="G332">
            <v>0</v>
          </cell>
          <cell r="J332">
            <v>0</v>
          </cell>
        </row>
        <row r="333">
          <cell r="F333">
            <v>0</v>
          </cell>
          <cell r="G333">
            <v>0</v>
          </cell>
          <cell r="J333">
            <v>0</v>
          </cell>
        </row>
        <row r="334">
          <cell r="F334">
            <v>0</v>
          </cell>
          <cell r="G334">
            <v>0</v>
          </cell>
          <cell r="J334">
            <v>0</v>
          </cell>
        </row>
        <row r="335">
          <cell r="F335">
            <v>0</v>
          </cell>
          <cell r="G335">
            <v>0</v>
          </cell>
          <cell r="J335">
            <v>0</v>
          </cell>
        </row>
        <row r="336">
          <cell r="F336">
            <v>0</v>
          </cell>
          <cell r="G336">
            <v>0</v>
          </cell>
          <cell r="J336">
            <v>0</v>
          </cell>
        </row>
        <row r="337">
          <cell r="F337">
            <v>0</v>
          </cell>
          <cell r="G337">
            <v>0</v>
          </cell>
          <cell r="J337">
            <v>0</v>
          </cell>
        </row>
        <row r="338">
          <cell r="F338">
            <v>0</v>
          </cell>
          <cell r="G338">
            <v>0</v>
          </cell>
          <cell r="J338">
            <v>0</v>
          </cell>
        </row>
        <row r="339">
          <cell r="F339">
            <v>0</v>
          </cell>
          <cell r="G339">
            <v>0</v>
          </cell>
          <cell r="J339">
            <v>0</v>
          </cell>
        </row>
        <row r="340">
          <cell r="F340">
            <v>0</v>
          </cell>
          <cell r="G340">
            <v>0</v>
          </cell>
          <cell r="J340">
            <v>0</v>
          </cell>
        </row>
        <row r="341">
          <cell r="F341">
            <v>0</v>
          </cell>
          <cell r="G341">
            <v>0</v>
          </cell>
          <cell r="J341">
            <v>0</v>
          </cell>
        </row>
        <row r="342">
          <cell r="F342">
            <v>0</v>
          </cell>
          <cell r="G342">
            <v>0</v>
          </cell>
          <cell r="J342">
            <v>0</v>
          </cell>
        </row>
        <row r="343">
          <cell r="F343">
            <v>0</v>
          </cell>
          <cell r="G343">
            <v>0</v>
          </cell>
          <cell r="J343">
            <v>0</v>
          </cell>
        </row>
        <row r="344">
          <cell r="F344">
            <v>0</v>
          </cell>
          <cell r="G344">
            <v>0</v>
          </cell>
          <cell r="J344">
            <v>0</v>
          </cell>
        </row>
        <row r="345">
          <cell r="F345">
            <v>0</v>
          </cell>
          <cell r="G345">
            <v>0</v>
          </cell>
          <cell r="J345">
            <v>0</v>
          </cell>
        </row>
        <row r="346">
          <cell r="F346">
            <v>0</v>
          </cell>
          <cell r="G346">
            <v>0</v>
          </cell>
          <cell r="J346">
            <v>0</v>
          </cell>
        </row>
        <row r="347">
          <cell r="F347">
            <v>0</v>
          </cell>
          <cell r="G347">
            <v>0</v>
          </cell>
          <cell r="J347">
            <v>0</v>
          </cell>
        </row>
        <row r="348">
          <cell r="F348">
            <v>0</v>
          </cell>
          <cell r="G348">
            <v>0</v>
          </cell>
          <cell r="J348">
            <v>0</v>
          </cell>
        </row>
        <row r="349">
          <cell r="F349">
            <v>0</v>
          </cell>
          <cell r="G349">
            <v>0</v>
          </cell>
          <cell r="J349">
            <v>0</v>
          </cell>
        </row>
        <row r="350">
          <cell r="F350">
            <v>0</v>
          </cell>
          <cell r="G350">
            <v>0</v>
          </cell>
          <cell r="J350">
            <v>0</v>
          </cell>
        </row>
        <row r="351">
          <cell r="F351">
            <v>0</v>
          </cell>
          <cell r="G351">
            <v>0</v>
          </cell>
          <cell r="J351">
            <v>0</v>
          </cell>
        </row>
        <row r="352">
          <cell r="F352">
            <v>0</v>
          </cell>
          <cell r="G352">
            <v>0</v>
          </cell>
          <cell r="J352">
            <v>0</v>
          </cell>
        </row>
        <row r="353">
          <cell r="F353">
            <v>0</v>
          </cell>
          <cell r="G353">
            <v>0</v>
          </cell>
          <cell r="J353">
            <v>0</v>
          </cell>
        </row>
        <row r="354">
          <cell r="F354">
            <v>0</v>
          </cell>
          <cell r="G354">
            <v>0</v>
          </cell>
          <cell r="J354">
            <v>0</v>
          </cell>
        </row>
        <row r="355">
          <cell r="F355">
            <v>0</v>
          </cell>
          <cell r="G355">
            <v>0</v>
          </cell>
          <cell r="J355">
            <v>0</v>
          </cell>
        </row>
        <row r="356">
          <cell r="F356">
            <v>0</v>
          </cell>
          <cell r="G356">
            <v>0</v>
          </cell>
          <cell r="J356">
            <v>0</v>
          </cell>
        </row>
        <row r="357">
          <cell r="F357">
            <v>0</v>
          </cell>
          <cell r="G357">
            <v>0</v>
          </cell>
          <cell r="J357">
            <v>0</v>
          </cell>
        </row>
        <row r="358">
          <cell r="F358">
            <v>0</v>
          </cell>
          <cell r="G358">
            <v>0</v>
          </cell>
          <cell r="J358">
            <v>0</v>
          </cell>
        </row>
        <row r="359">
          <cell r="F359">
            <v>0</v>
          </cell>
          <cell r="G359">
            <v>0</v>
          </cell>
          <cell r="J359">
            <v>0</v>
          </cell>
        </row>
        <row r="360">
          <cell r="F360">
            <v>0</v>
          </cell>
          <cell r="G360">
            <v>0</v>
          </cell>
          <cell r="J360">
            <v>0</v>
          </cell>
        </row>
        <row r="361">
          <cell r="F361">
            <v>0</v>
          </cell>
          <cell r="G361">
            <v>0</v>
          </cell>
          <cell r="J361">
            <v>0</v>
          </cell>
        </row>
        <row r="362">
          <cell r="F362">
            <v>0</v>
          </cell>
          <cell r="G362">
            <v>0</v>
          </cell>
          <cell r="J362">
            <v>0</v>
          </cell>
        </row>
        <row r="363">
          <cell r="F363">
            <v>0</v>
          </cell>
          <cell r="G363">
            <v>0</v>
          </cell>
          <cell r="J363">
            <v>0</v>
          </cell>
        </row>
        <row r="364">
          <cell r="F364">
            <v>0</v>
          </cell>
          <cell r="G364">
            <v>0</v>
          </cell>
          <cell r="J364">
            <v>0</v>
          </cell>
        </row>
        <row r="365">
          <cell r="F365">
            <v>0</v>
          </cell>
          <cell r="G365">
            <v>0</v>
          </cell>
          <cell r="J365">
            <v>0</v>
          </cell>
        </row>
        <row r="366">
          <cell r="F366">
            <v>0</v>
          </cell>
          <cell r="G366">
            <v>0</v>
          </cell>
          <cell r="J366">
            <v>0</v>
          </cell>
        </row>
        <row r="367">
          <cell r="F367">
            <v>0</v>
          </cell>
          <cell r="G367">
            <v>0</v>
          </cell>
          <cell r="J367">
            <v>0</v>
          </cell>
        </row>
        <row r="368">
          <cell r="F368">
            <v>0</v>
          </cell>
          <cell r="G368">
            <v>0</v>
          </cell>
          <cell r="J368">
            <v>0</v>
          </cell>
        </row>
        <row r="369">
          <cell r="F369">
            <v>0</v>
          </cell>
          <cell r="G369">
            <v>0</v>
          </cell>
          <cell r="J369">
            <v>0</v>
          </cell>
        </row>
        <row r="370">
          <cell r="F370">
            <v>0</v>
          </cell>
          <cell r="G370">
            <v>0</v>
          </cell>
          <cell r="J370">
            <v>0</v>
          </cell>
        </row>
        <row r="371">
          <cell r="F371">
            <v>0</v>
          </cell>
          <cell r="G371">
            <v>0</v>
          </cell>
          <cell r="J371">
            <v>0</v>
          </cell>
        </row>
        <row r="372">
          <cell r="F372">
            <v>0</v>
          </cell>
          <cell r="G372">
            <v>0</v>
          </cell>
          <cell r="J372">
            <v>0</v>
          </cell>
        </row>
        <row r="373">
          <cell r="F373">
            <v>0</v>
          </cell>
          <cell r="G373">
            <v>0</v>
          </cell>
          <cell r="J373">
            <v>0</v>
          </cell>
        </row>
        <row r="374">
          <cell r="F374">
            <v>0</v>
          </cell>
          <cell r="G374">
            <v>0</v>
          </cell>
          <cell r="J374">
            <v>0</v>
          </cell>
        </row>
        <row r="375">
          <cell r="F375">
            <v>0</v>
          </cell>
          <cell r="G375">
            <v>0</v>
          </cell>
          <cell r="J375">
            <v>0</v>
          </cell>
        </row>
        <row r="376">
          <cell r="F376">
            <v>0</v>
          </cell>
          <cell r="G376">
            <v>0</v>
          </cell>
          <cell r="J376">
            <v>0</v>
          </cell>
        </row>
        <row r="377">
          <cell r="F377">
            <v>0</v>
          </cell>
          <cell r="G377">
            <v>0</v>
          </cell>
          <cell r="J377">
            <v>0</v>
          </cell>
        </row>
        <row r="378">
          <cell r="F378">
            <v>0</v>
          </cell>
          <cell r="G378">
            <v>0</v>
          </cell>
          <cell r="J378">
            <v>0</v>
          </cell>
        </row>
        <row r="379">
          <cell r="F379">
            <v>0</v>
          </cell>
          <cell r="G379">
            <v>0</v>
          </cell>
          <cell r="J379">
            <v>0</v>
          </cell>
        </row>
        <row r="380">
          <cell r="F380">
            <v>0</v>
          </cell>
          <cell r="G380">
            <v>0</v>
          </cell>
          <cell r="J380">
            <v>0</v>
          </cell>
        </row>
        <row r="381">
          <cell r="F381">
            <v>0</v>
          </cell>
          <cell r="G381">
            <v>0</v>
          </cell>
          <cell r="J381">
            <v>0</v>
          </cell>
        </row>
        <row r="382">
          <cell r="F382">
            <v>0</v>
          </cell>
          <cell r="G382">
            <v>0</v>
          </cell>
          <cell r="J382">
            <v>0</v>
          </cell>
        </row>
        <row r="383">
          <cell r="F383">
            <v>0</v>
          </cell>
          <cell r="G383">
            <v>0</v>
          </cell>
          <cell r="J383">
            <v>0</v>
          </cell>
        </row>
        <row r="384">
          <cell r="F384">
            <v>0</v>
          </cell>
          <cell r="G384">
            <v>0</v>
          </cell>
          <cell r="J384">
            <v>0</v>
          </cell>
        </row>
        <row r="385">
          <cell r="F385">
            <v>0</v>
          </cell>
          <cell r="G385">
            <v>0</v>
          </cell>
          <cell r="J385">
            <v>0</v>
          </cell>
        </row>
        <row r="386">
          <cell r="F386">
            <v>0</v>
          </cell>
          <cell r="G386">
            <v>0</v>
          </cell>
          <cell r="J386">
            <v>0</v>
          </cell>
        </row>
        <row r="387">
          <cell r="F387">
            <v>0</v>
          </cell>
          <cell r="G387">
            <v>0</v>
          </cell>
          <cell r="J387">
            <v>0</v>
          </cell>
        </row>
        <row r="388">
          <cell r="F388">
            <v>0</v>
          </cell>
          <cell r="G388">
            <v>0</v>
          </cell>
          <cell r="J388">
            <v>0</v>
          </cell>
        </row>
        <row r="389">
          <cell r="F389">
            <v>0</v>
          </cell>
          <cell r="G389">
            <v>0</v>
          </cell>
          <cell r="J389">
            <v>0</v>
          </cell>
        </row>
        <row r="390">
          <cell r="F390">
            <v>0</v>
          </cell>
          <cell r="G390">
            <v>0</v>
          </cell>
          <cell r="J390">
            <v>0</v>
          </cell>
        </row>
        <row r="391">
          <cell r="F391">
            <v>0</v>
          </cell>
          <cell r="G391">
            <v>0</v>
          </cell>
          <cell r="J391">
            <v>0</v>
          </cell>
        </row>
        <row r="392">
          <cell r="F392">
            <v>0</v>
          </cell>
          <cell r="G392">
            <v>0</v>
          </cell>
          <cell r="J392">
            <v>0</v>
          </cell>
        </row>
        <row r="393">
          <cell r="F393">
            <v>0</v>
          </cell>
          <cell r="G393">
            <v>0</v>
          </cell>
          <cell r="J393">
            <v>0</v>
          </cell>
        </row>
        <row r="394">
          <cell r="F394">
            <v>0</v>
          </cell>
          <cell r="G394">
            <v>0</v>
          </cell>
          <cell r="J394">
            <v>0</v>
          </cell>
        </row>
        <row r="395">
          <cell r="F395">
            <v>0</v>
          </cell>
          <cell r="G395">
            <v>0</v>
          </cell>
          <cell r="J395">
            <v>0</v>
          </cell>
        </row>
        <row r="396">
          <cell r="F396">
            <v>0</v>
          </cell>
          <cell r="G396">
            <v>0</v>
          </cell>
          <cell r="J396">
            <v>0</v>
          </cell>
        </row>
        <row r="397">
          <cell r="F397">
            <v>0</v>
          </cell>
          <cell r="G397">
            <v>0</v>
          </cell>
          <cell r="J397">
            <v>0</v>
          </cell>
        </row>
        <row r="398">
          <cell r="F398">
            <v>0</v>
          </cell>
          <cell r="G398">
            <v>0</v>
          </cell>
          <cell r="J398">
            <v>0</v>
          </cell>
        </row>
        <row r="399">
          <cell r="F399">
            <v>0</v>
          </cell>
          <cell r="G399">
            <v>0</v>
          </cell>
          <cell r="J399">
            <v>0</v>
          </cell>
        </row>
        <row r="400">
          <cell r="F400">
            <v>0</v>
          </cell>
          <cell r="G400">
            <v>0</v>
          </cell>
          <cell r="J400">
            <v>0</v>
          </cell>
        </row>
        <row r="401">
          <cell r="F401">
            <v>0</v>
          </cell>
          <cell r="G401">
            <v>0</v>
          </cell>
          <cell r="J401">
            <v>0</v>
          </cell>
        </row>
        <row r="402">
          <cell r="F402">
            <v>0</v>
          </cell>
          <cell r="G402">
            <v>0</v>
          </cell>
          <cell r="J402">
            <v>0</v>
          </cell>
        </row>
        <row r="403">
          <cell r="F403">
            <v>0</v>
          </cell>
          <cell r="G403">
            <v>0</v>
          </cell>
          <cell r="J403">
            <v>0</v>
          </cell>
        </row>
        <row r="404">
          <cell r="F404">
            <v>0</v>
          </cell>
          <cell r="G404">
            <v>0</v>
          </cell>
          <cell r="J404">
            <v>0</v>
          </cell>
        </row>
        <row r="405">
          <cell r="F405">
            <v>0</v>
          </cell>
          <cell r="G405">
            <v>0</v>
          </cell>
          <cell r="J405">
            <v>0</v>
          </cell>
        </row>
        <row r="406">
          <cell r="F406">
            <v>0</v>
          </cell>
          <cell r="G406">
            <v>0</v>
          </cell>
          <cell r="J406">
            <v>0</v>
          </cell>
        </row>
        <row r="407">
          <cell r="F407">
            <v>0</v>
          </cell>
          <cell r="G407">
            <v>0</v>
          </cell>
          <cell r="J407">
            <v>0</v>
          </cell>
        </row>
        <row r="408">
          <cell r="F408">
            <v>0</v>
          </cell>
          <cell r="G408">
            <v>0</v>
          </cell>
          <cell r="J408">
            <v>0</v>
          </cell>
        </row>
        <row r="409">
          <cell r="F409">
            <v>0</v>
          </cell>
          <cell r="G409">
            <v>0</v>
          </cell>
          <cell r="J409">
            <v>0</v>
          </cell>
        </row>
        <row r="410">
          <cell r="F410">
            <v>0</v>
          </cell>
          <cell r="G410">
            <v>0</v>
          </cell>
          <cell r="J410">
            <v>0</v>
          </cell>
        </row>
        <row r="411">
          <cell r="F411">
            <v>0</v>
          </cell>
          <cell r="G411">
            <v>0</v>
          </cell>
          <cell r="J411">
            <v>0</v>
          </cell>
        </row>
        <row r="412">
          <cell r="F412">
            <v>0</v>
          </cell>
          <cell r="G412">
            <v>0</v>
          </cell>
          <cell r="J412">
            <v>0</v>
          </cell>
        </row>
        <row r="413">
          <cell r="F413">
            <v>0</v>
          </cell>
          <cell r="G413">
            <v>0</v>
          </cell>
          <cell r="J413">
            <v>0</v>
          </cell>
        </row>
        <row r="414">
          <cell r="F414">
            <v>0</v>
          </cell>
          <cell r="G414">
            <v>0</v>
          </cell>
          <cell r="J414">
            <v>0</v>
          </cell>
        </row>
        <row r="415">
          <cell r="F415">
            <v>0</v>
          </cell>
          <cell r="G415">
            <v>0</v>
          </cell>
          <cell r="J415">
            <v>0</v>
          </cell>
        </row>
        <row r="416">
          <cell r="F416">
            <v>0</v>
          </cell>
          <cell r="G416">
            <v>0</v>
          </cell>
          <cell r="J416">
            <v>0</v>
          </cell>
        </row>
        <row r="417">
          <cell r="F417">
            <v>0</v>
          </cell>
          <cell r="G417">
            <v>0</v>
          </cell>
          <cell r="J417">
            <v>0</v>
          </cell>
        </row>
        <row r="418">
          <cell r="F418">
            <v>0</v>
          </cell>
          <cell r="G418">
            <v>0</v>
          </cell>
          <cell r="J418">
            <v>0</v>
          </cell>
        </row>
        <row r="419">
          <cell r="F419">
            <v>0</v>
          </cell>
          <cell r="G419">
            <v>0</v>
          </cell>
          <cell r="J419">
            <v>0</v>
          </cell>
        </row>
        <row r="420">
          <cell r="F420">
            <v>0</v>
          </cell>
          <cell r="G420">
            <v>0</v>
          </cell>
          <cell r="J420">
            <v>0</v>
          </cell>
        </row>
        <row r="421">
          <cell r="F421">
            <v>0</v>
          </cell>
          <cell r="G421">
            <v>0</v>
          </cell>
          <cell r="J421">
            <v>0</v>
          </cell>
        </row>
        <row r="422">
          <cell r="F422">
            <v>0</v>
          </cell>
          <cell r="G422">
            <v>0</v>
          </cell>
          <cell r="J422">
            <v>0</v>
          </cell>
        </row>
        <row r="423">
          <cell r="F423">
            <v>0</v>
          </cell>
          <cell r="G423">
            <v>0</v>
          </cell>
          <cell r="J423">
            <v>0</v>
          </cell>
        </row>
        <row r="424">
          <cell r="F424">
            <v>0</v>
          </cell>
          <cell r="G424">
            <v>0</v>
          </cell>
          <cell r="J424">
            <v>0</v>
          </cell>
        </row>
        <row r="425">
          <cell r="F425">
            <v>0</v>
          </cell>
          <cell r="G425">
            <v>0</v>
          </cell>
          <cell r="J425">
            <v>0</v>
          </cell>
        </row>
        <row r="426">
          <cell r="F426">
            <v>0</v>
          </cell>
          <cell r="G426">
            <v>0</v>
          </cell>
          <cell r="J426">
            <v>0</v>
          </cell>
        </row>
        <row r="427">
          <cell r="F427">
            <v>0</v>
          </cell>
          <cell r="G427">
            <v>0</v>
          </cell>
          <cell r="J427">
            <v>0</v>
          </cell>
        </row>
        <row r="428">
          <cell r="F428">
            <v>0</v>
          </cell>
          <cell r="G428">
            <v>0</v>
          </cell>
          <cell r="J428">
            <v>0</v>
          </cell>
        </row>
        <row r="429">
          <cell r="F429">
            <v>0</v>
          </cell>
          <cell r="G429">
            <v>0</v>
          </cell>
          <cell r="J429">
            <v>0</v>
          </cell>
        </row>
        <row r="430">
          <cell r="F430">
            <v>0</v>
          </cell>
          <cell r="G430">
            <v>0</v>
          </cell>
          <cell r="J430">
            <v>0</v>
          </cell>
        </row>
        <row r="431">
          <cell r="F431">
            <v>0</v>
          </cell>
          <cell r="G431">
            <v>0</v>
          </cell>
          <cell r="J431">
            <v>0</v>
          </cell>
        </row>
        <row r="432">
          <cell r="F432">
            <v>0</v>
          </cell>
          <cell r="G432">
            <v>0</v>
          </cell>
          <cell r="J432">
            <v>0</v>
          </cell>
        </row>
        <row r="433">
          <cell r="F433">
            <v>0</v>
          </cell>
          <cell r="G433">
            <v>0</v>
          </cell>
          <cell r="J433">
            <v>0</v>
          </cell>
        </row>
        <row r="434">
          <cell r="F434">
            <v>0</v>
          </cell>
          <cell r="G434">
            <v>0</v>
          </cell>
          <cell r="J434">
            <v>0</v>
          </cell>
        </row>
        <row r="435">
          <cell r="F435">
            <v>0</v>
          </cell>
          <cell r="G435">
            <v>0</v>
          </cell>
          <cell r="J435">
            <v>0</v>
          </cell>
        </row>
        <row r="436">
          <cell r="F436">
            <v>0</v>
          </cell>
          <cell r="G436">
            <v>0</v>
          </cell>
          <cell r="J436">
            <v>0</v>
          </cell>
        </row>
        <row r="437">
          <cell r="F437">
            <v>0</v>
          </cell>
          <cell r="G437">
            <v>0</v>
          </cell>
          <cell r="J437">
            <v>0</v>
          </cell>
        </row>
        <row r="438">
          <cell r="F438">
            <v>0</v>
          </cell>
          <cell r="G438">
            <v>0</v>
          </cell>
          <cell r="J438">
            <v>0</v>
          </cell>
        </row>
        <row r="439">
          <cell r="F439">
            <v>0</v>
          </cell>
          <cell r="G439">
            <v>0</v>
          </cell>
          <cell r="J439">
            <v>0</v>
          </cell>
        </row>
        <row r="440">
          <cell r="F440">
            <v>0</v>
          </cell>
          <cell r="G440">
            <v>0</v>
          </cell>
          <cell r="J440">
            <v>0</v>
          </cell>
        </row>
        <row r="441">
          <cell r="F441">
            <v>0</v>
          </cell>
          <cell r="G441">
            <v>0</v>
          </cell>
          <cell r="J441">
            <v>0</v>
          </cell>
        </row>
        <row r="442">
          <cell r="F442">
            <v>0</v>
          </cell>
          <cell r="G442">
            <v>0</v>
          </cell>
          <cell r="J442">
            <v>0</v>
          </cell>
        </row>
        <row r="443">
          <cell r="F443">
            <v>0</v>
          </cell>
          <cell r="G443">
            <v>0</v>
          </cell>
          <cell r="J443">
            <v>0</v>
          </cell>
        </row>
        <row r="444">
          <cell r="F444">
            <v>0</v>
          </cell>
          <cell r="G444">
            <v>0</v>
          </cell>
          <cell r="J444">
            <v>0</v>
          </cell>
        </row>
        <row r="445">
          <cell r="F445">
            <v>0</v>
          </cell>
          <cell r="G445">
            <v>0</v>
          </cell>
          <cell r="J445">
            <v>0</v>
          </cell>
        </row>
        <row r="446">
          <cell r="F446">
            <v>0</v>
          </cell>
          <cell r="G446">
            <v>0</v>
          </cell>
          <cell r="J446">
            <v>0</v>
          </cell>
        </row>
        <row r="447">
          <cell r="F447">
            <v>0</v>
          </cell>
          <cell r="G447">
            <v>0</v>
          </cell>
          <cell r="J447">
            <v>0</v>
          </cell>
        </row>
        <row r="448">
          <cell r="F448">
            <v>0</v>
          </cell>
          <cell r="G448">
            <v>0</v>
          </cell>
          <cell r="J448">
            <v>0</v>
          </cell>
        </row>
        <row r="449">
          <cell r="F449">
            <v>0</v>
          </cell>
          <cell r="G449">
            <v>0</v>
          </cell>
          <cell r="J449">
            <v>0</v>
          </cell>
        </row>
        <row r="450">
          <cell r="F450">
            <v>0</v>
          </cell>
          <cell r="G450">
            <v>0</v>
          </cell>
          <cell r="J450">
            <v>0</v>
          </cell>
        </row>
        <row r="451">
          <cell r="F451">
            <v>0</v>
          </cell>
          <cell r="G451">
            <v>0</v>
          </cell>
          <cell r="J451">
            <v>0</v>
          </cell>
        </row>
        <row r="452">
          <cell r="F452">
            <v>0</v>
          </cell>
          <cell r="G452">
            <v>0</v>
          </cell>
          <cell r="J452">
            <v>0</v>
          </cell>
        </row>
        <row r="453">
          <cell r="F453">
            <v>0</v>
          </cell>
          <cell r="G453">
            <v>0</v>
          </cell>
          <cell r="J453">
            <v>0</v>
          </cell>
        </row>
        <row r="454">
          <cell r="F454">
            <v>0</v>
          </cell>
          <cell r="G454">
            <v>0</v>
          </cell>
          <cell r="J454">
            <v>0</v>
          </cell>
        </row>
        <row r="455">
          <cell r="F455">
            <v>0</v>
          </cell>
          <cell r="G455">
            <v>0</v>
          </cell>
          <cell r="J455">
            <v>0</v>
          </cell>
        </row>
        <row r="456">
          <cell r="F456">
            <v>0</v>
          </cell>
          <cell r="G456">
            <v>0</v>
          </cell>
          <cell r="J456">
            <v>0</v>
          </cell>
        </row>
        <row r="457">
          <cell r="F457">
            <v>0</v>
          </cell>
          <cell r="G457">
            <v>0</v>
          </cell>
          <cell r="J457">
            <v>0</v>
          </cell>
        </row>
        <row r="458">
          <cell r="F458">
            <v>0</v>
          </cell>
          <cell r="G458">
            <v>0</v>
          </cell>
          <cell r="J458">
            <v>0</v>
          </cell>
        </row>
        <row r="459">
          <cell r="F459">
            <v>0</v>
          </cell>
          <cell r="G459">
            <v>0</v>
          </cell>
          <cell r="J459">
            <v>0</v>
          </cell>
        </row>
        <row r="460">
          <cell r="F460">
            <v>0</v>
          </cell>
          <cell r="G460">
            <v>0</v>
          </cell>
          <cell r="J460">
            <v>0</v>
          </cell>
        </row>
        <row r="461">
          <cell r="F461">
            <v>0</v>
          </cell>
          <cell r="G461">
            <v>0</v>
          </cell>
          <cell r="J461">
            <v>0</v>
          </cell>
        </row>
        <row r="462">
          <cell r="F462">
            <v>0</v>
          </cell>
          <cell r="G462">
            <v>0</v>
          </cell>
          <cell r="J462">
            <v>0</v>
          </cell>
        </row>
        <row r="463">
          <cell r="F463">
            <v>0</v>
          </cell>
          <cell r="G463">
            <v>0</v>
          </cell>
          <cell r="J463">
            <v>0</v>
          </cell>
        </row>
        <row r="464">
          <cell r="F464">
            <v>0</v>
          </cell>
          <cell r="G464">
            <v>0</v>
          </cell>
          <cell r="J464">
            <v>0</v>
          </cell>
        </row>
        <row r="465">
          <cell r="F465">
            <v>0</v>
          </cell>
          <cell r="G465">
            <v>0</v>
          </cell>
          <cell r="J465">
            <v>0</v>
          </cell>
        </row>
        <row r="466">
          <cell r="F466">
            <v>0</v>
          </cell>
          <cell r="G466">
            <v>0</v>
          </cell>
          <cell r="J466">
            <v>0</v>
          </cell>
        </row>
        <row r="467">
          <cell r="F467">
            <v>0</v>
          </cell>
          <cell r="G467">
            <v>0</v>
          </cell>
          <cell r="J467">
            <v>0</v>
          </cell>
        </row>
        <row r="468">
          <cell r="F468">
            <v>0</v>
          </cell>
          <cell r="G468">
            <v>0</v>
          </cell>
          <cell r="J468">
            <v>0</v>
          </cell>
        </row>
        <row r="469">
          <cell r="F469">
            <v>0</v>
          </cell>
          <cell r="G469">
            <v>0</v>
          </cell>
          <cell r="J469">
            <v>0</v>
          </cell>
        </row>
        <row r="470">
          <cell r="F470">
            <v>0</v>
          </cell>
          <cell r="G470">
            <v>0</v>
          </cell>
          <cell r="J470">
            <v>0</v>
          </cell>
        </row>
        <row r="471">
          <cell r="F471">
            <v>0</v>
          </cell>
          <cell r="G471">
            <v>0</v>
          </cell>
          <cell r="J471">
            <v>0</v>
          </cell>
        </row>
        <row r="472">
          <cell r="F472">
            <v>0</v>
          </cell>
          <cell r="G472">
            <v>0</v>
          </cell>
          <cell r="J472">
            <v>0</v>
          </cell>
        </row>
        <row r="473">
          <cell r="F473">
            <v>0</v>
          </cell>
          <cell r="G473">
            <v>0</v>
          </cell>
          <cell r="J473">
            <v>0</v>
          </cell>
        </row>
        <row r="474">
          <cell r="F474">
            <v>0</v>
          </cell>
          <cell r="G474">
            <v>0</v>
          </cell>
          <cell r="J474">
            <v>0</v>
          </cell>
        </row>
        <row r="475">
          <cell r="F475">
            <v>0</v>
          </cell>
          <cell r="G475">
            <v>0</v>
          </cell>
          <cell r="J475">
            <v>0</v>
          </cell>
        </row>
        <row r="476">
          <cell r="F476">
            <v>0</v>
          </cell>
          <cell r="G476">
            <v>0</v>
          </cell>
          <cell r="J476">
            <v>0</v>
          </cell>
        </row>
        <row r="477">
          <cell r="F477">
            <v>0</v>
          </cell>
          <cell r="G477">
            <v>0</v>
          </cell>
          <cell r="J477">
            <v>0</v>
          </cell>
        </row>
        <row r="478">
          <cell r="F478">
            <v>0</v>
          </cell>
          <cell r="G478">
            <v>0</v>
          </cell>
          <cell r="J478">
            <v>0</v>
          </cell>
        </row>
        <row r="479">
          <cell r="F479">
            <v>0</v>
          </cell>
          <cell r="G479">
            <v>0</v>
          </cell>
          <cell r="J479">
            <v>0</v>
          </cell>
        </row>
        <row r="480">
          <cell r="F480">
            <v>0</v>
          </cell>
          <cell r="G480">
            <v>0</v>
          </cell>
          <cell r="J480">
            <v>0</v>
          </cell>
        </row>
        <row r="481">
          <cell r="F481">
            <v>0</v>
          </cell>
          <cell r="G481">
            <v>0</v>
          </cell>
          <cell r="J481">
            <v>0</v>
          </cell>
        </row>
        <row r="482">
          <cell r="F482">
            <v>0</v>
          </cell>
          <cell r="G482">
            <v>0</v>
          </cell>
          <cell r="J482">
            <v>0</v>
          </cell>
        </row>
        <row r="483">
          <cell r="F483">
            <v>0</v>
          </cell>
          <cell r="G483">
            <v>0</v>
          </cell>
          <cell r="J483">
            <v>0</v>
          </cell>
        </row>
        <row r="484">
          <cell r="F484">
            <v>0</v>
          </cell>
          <cell r="G484">
            <v>0</v>
          </cell>
          <cell r="J484">
            <v>0</v>
          </cell>
        </row>
        <row r="485">
          <cell r="F485">
            <v>0</v>
          </cell>
          <cell r="G485">
            <v>0</v>
          </cell>
          <cell r="J485">
            <v>0</v>
          </cell>
        </row>
        <row r="486">
          <cell r="F486">
            <v>0</v>
          </cell>
          <cell r="G486">
            <v>0</v>
          </cell>
          <cell r="J486">
            <v>0</v>
          </cell>
        </row>
        <row r="487">
          <cell r="F487">
            <v>0</v>
          </cell>
          <cell r="G487">
            <v>0</v>
          </cell>
          <cell r="J487">
            <v>0</v>
          </cell>
        </row>
        <row r="488">
          <cell r="F488">
            <v>0</v>
          </cell>
          <cell r="G488">
            <v>0</v>
          </cell>
          <cell r="J488">
            <v>0</v>
          </cell>
        </row>
        <row r="489">
          <cell r="F489">
            <v>0</v>
          </cell>
          <cell r="G489">
            <v>0</v>
          </cell>
          <cell r="J489">
            <v>0</v>
          </cell>
        </row>
        <row r="490">
          <cell r="F490">
            <v>0</v>
          </cell>
          <cell r="G490">
            <v>0</v>
          </cell>
          <cell r="J490">
            <v>0</v>
          </cell>
        </row>
        <row r="491">
          <cell r="F491">
            <v>0</v>
          </cell>
          <cell r="G491">
            <v>0</v>
          </cell>
          <cell r="J491">
            <v>0</v>
          </cell>
        </row>
        <row r="492">
          <cell r="F492">
            <v>0</v>
          </cell>
          <cell r="G492">
            <v>0</v>
          </cell>
          <cell r="J492">
            <v>0</v>
          </cell>
        </row>
        <row r="493">
          <cell r="F493">
            <v>0</v>
          </cell>
          <cell r="G493">
            <v>0</v>
          </cell>
          <cell r="J493">
            <v>0</v>
          </cell>
        </row>
        <row r="494">
          <cell r="F494">
            <v>0</v>
          </cell>
          <cell r="G494">
            <v>0</v>
          </cell>
          <cell r="J494">
            <v>0</v>
          </cell>
        </row>
        <row r="495">
          <cell r="F495">
            <v>0</v>
          </cell>
          <cell r="G495">
            <v>0</v>
          </cell>
          <cell r="J495">
            <v>0</v>
          </cell>
        </row>
        <row r="496">
          <cell r="F496">
            <v>0</v>
          </cell>
          <cell r="G496">
            <v>0</v>
          </cell>
          <cell r="J496">
            <v>0</v>
          </cell>
        </row>
        <row r="497">
          <cell r="F497">
            <v>0</v>
          </cell>
          <cell r="G497">
            <v>0</v>
          </cell>
          <cell r="J497">
            <v>0</v>
          </cell>
        </row>
        <row r="498">
          <cell r="F498">
            <v>0</v>
          </cell>
          <cell r="G498">
            <v>0</v>
          </cell>
          <cell r="J498">
            <v>0</v>
          </cell>
        </row>
        <row r="499">
          <cell r="F499">
            <v>0</v>
          </cell>
          <cell r="G499">
            <v>0</v>
          </cell>
          <cell r="J499">
            <v>0</v>
          </cell>
        </row>
        <row r="500">
          <cell r="F500">
            <v>0</v>
          </cell>
          <cell r="G500">
            <v>0</v>
          </cell>
          <cell r="J500">
            <v>0</v>
          </cell>
        </row>
        <row r="501">
          <cell r="F501">
            <v>0</v>
          </cell>
          <cell r="G501">
            <v>0</v>
          </cell>
          <cell r="J501">
            <v>0</v>
          </cell>
        </row>
        <row r="502">
          <cell r="F502">
            <v>0</v>
          </cell>
          <cell r="G502">
            <v>0</v>
          </cell>
          <cell r="J502">
            <v>0</v>
          </cell>
        </row>
        <row r="503">
          <cell r="F503">
            <v>0</v>
          </cell>
          <cell r="G503">
            <v>0</v>
          </cell>
          <cell r="J503">
            <v>0</v>
          </cell>
        </row>
        <row r="504">
          <cell r="F504">
            <v>0</v>
          </cell>
          <cell r="G504">
            <v>0</v>
          </cell>
          <cell r="J504">
            <v>0</v>
          </cell>
        </row>
        <row r="505">
          <cell r="F505">
            <v>0</v>
          </cell>
          <cell r="G505">
            <v>0</v>
          </cell>
          <cell r="J505">
            <v>0</v>
          </cell>
        </row>
        <row r="506">
          <cell r="F506">
            <v>0</v>
          </cell>
          <cell r="G506">
            <v>0</v>
          </cell>
          <cell r="J506">
            <v>0</v>
          </cell>
        </row>
        <row r="507">
          <cell r="F507">
            <v>0</v>
          </cell>
          <cell r="G507">
            <v>0</v>
          </cell>
          <cell r="J507">
            <v>0</v>
          </cell>
        </row>
        <row r="508">
          <cell r="F508">
            <v>0</v>
          </cell>
          <cell r="G508">
            <v>0</v>
          </cell>
          <cell r="J508">
            <v>0</v>
          </cell>
        </row>
        <row r="509">
          <cell r="F509">
            <v>0</v>
          </cell>
          <cell r="G509">
            <v>0</v>
          </cell>
          <cell r="J509">
            <v>0</v>
          </cell>
        </row>
        <row r="510">
          <cell r="F510">
            <v>0</v>
          </cell>
          <cell r="G510">
            <v>0</v>
          </cell>
          <cell r="J510">
            <v>0</v>
          </cell>
        </row>
        <row r="511">
          <cell r="F511">
            <v>0</v>
          </cell>
          <cell r="G511">
            <v>0</v>
          </cell>
          <cell r="J511">
            <v>0</v>
          </cell>
        </row>
        <row r="512">
          <cell r="F512">
            <v>0</v>
          </cell>
          <cell r="G512">
            <v>0</v>
          </cell>
          <cell r="J512">
            <v>0</v>
          </cell>
        </row>
        <row r="513">
          <cell r="F513">
            <v>0</v>
          </cell>
          <cell r="G513">
            <v>0</v>
          </cell>
          <cell r="J513">
            <v>0</v>
          </cell>
        </row>
        <row r="514">
          <cell r="F514">
            <v>0</v>
          </cell>
          <cell r="G514">
            <v>0</v>
          </cell>
          <cell r="J514">
            <v>0</v>
          </cell>
        </row>
        <row r="515">
          <cell r="F515">
            <v>0</v>
          </cell>
          <cell r="G515">
            <v>0</v>
          </cell>
          <cell r="J515">
            <v>0</v>
          </cell>
        </row>
        <row r="516">
          <cell r="F516">
            <v>0</v>
          </cell>
          <cell r="G516">
            <v>0</v>
          </cell>
          <cell r="J516">
            <v>0</v>
          </cell>
        </row>
        <row r="517">
          <cell r="F517">
            <v>0</v>
          </cell>
          <cell r="G517">
            <v>0</v>
          </cell>
          <cell r="J517">
            <v>0</v>
          </cell>
        </row>
        <row r="518">
          <cell r="F518">
            <v>0</v>
          </cell>
          <cell r="G518">
            <v>0</v>
          </cell>
          <cell r="J518">
            <v>0</v>
          </cell>
        </row>
        <row r="519">
          <cell r="F519">
            <v>0</v>
          </cell>
          <cell r="G519">
            <v>0</v>
          </cell>
          <cell r="J519">
            <v>0</v>
          </cell>
        </row>
        <row r="520">
          <cell r="F520">
            <v>0</v>
          </cell>
          <cell r="G520">
            <v>0</v>
          </cell>
          <cell r="J520">
            <v>0</v>
          </cell>
        </row>
        <row r="521">
          <cell r="F521">
            <v>0</v>
          </cell>
          <cell r="G521">
            <v>0</v>
          </cell>
          <cell r="J521">
            <v>0</v>
          </cell>
        </row>
        <row r="522">
          <cell r="F522">
            <v>0</v>
          </cell>
          <cell r="G522">
            <v>0</v>
          </cell>
          <cell r="J522">
            <v>0</v>
          </cell>
        </row>
        <row r="523">
          <cell r="F523">
            <v>0</v>
          </cell>
          <cell r="G523">
            <v>0</v>
          </cell>
          <cell r="J523">
            <v>0</v>
          </cell>
        </row>
        <row r="524">
          <cell r="F524">
            <v>0</v>
          </cell>
          <cell r="G524">
            <v>0</v>
          </cell>
          <cell r="J524">
            <v>0</v>
          </cell>
        </row>
        <row r="525">
          <cell r="F525">
            <v>0</v>
          </cell>
          <cell r="G525">
            <v>0</v>
          </cell>
          <cell r="J525">
            <v>0</v>
          </cell>
        </row>
        <row r="526">
          <cell r="F526">
            <v>0</v>
          </cell>
          <cell r="G526">
            <v>0</v>
          </cell>
          <cell r="J526">
            <v>0</v>
          </cell>
        </row>
        <row r="527">
          <cell r="F527">
            <v>0</v>
          </cell>
          <cell r="G527">
            <v>0</v>
          </cell>
          <cell r="J527">
            <v>0</v>
          </cell>
        </row>
        <row r="528">
          <cell r="F528">
            <v>0</v>
          </cell>
          <cell r="G528">
            <v>0</v>
          </cell>
          <cell r="J528">
            <v>0</v>
          </cell>
        </row>
        <row r="529">
          <cell r="F529">
            <v>0</v>
          </cell>
          <cell r="G529">
            <v>0</v>
          </cell>
          <cell r="J529">
            <v>0</v>
          </cell>
        </row>
        <row r="530">
          <cell r="F530">
            <v>0</v>
          </cell>
          <cell r="G530">
            <v>0</v>
          </cell>
          <cell r="J530">
            <v>0</v>
          </cell>
        </row>
        <row r="531">
          <cell r="F531">
            <v>0</v>
          </cell>
          <cell r="G531">
            <v>0</v>
          </cell>
          <cell r="J531">
            <v>0</v>
          </cell>
        </row>
        <row r="532">
          <cell r="F532">
            <v>0</v>
          </cell>
          <cell r="G532">
            <v>0</v>
          </cell>
          <cell r="J532">
            <v>0</v>
          </cell>
        </row>
        <row r="533">
          <cell r="F533">
            <v>0</v>
          </cell>
          <cell r="G533">
            <v>0</v>
          </cell>
          <cell r="J533">
            <v>0</v>
          </cell>
        </row>
        <row r="534">
          <cell r="F534">
            <v>0</v>
          </cell>
          <cell r="G534">
            <v>0</v>
          </cell>
          <cell r="J534">
            <v>0</v>
          </cell>
        </row>
        <row r="535">
          <cell r="F535">
            <v>0</v>
          </cell>
          <cell r="G535">
            <v>0</v>
          </cell>
          <cell r="J535">
            <v>0</v>
          </cell>
        </row>
        <row r="536">
          <cell r="F536">
            <v>0</v>
          </cell>
          <cell r="G536">
            <v>0</v>
          </cell>
          <cell r="J536">
            <v>0</v>
          </cell>
        </row>
        <row r="537">
          <cell r="F537">
            <v>0</v>
          </cell>
          <cell r="G537">
            <v>0</v>
          </cell>
          <cell r="J537">
            <v>0</v>
          </cell>
        </row>
        <row r="538">
          <cell r="F538">
            <v>0</v>
          </cell>
          <cell r="G538">
            <v>0</v>
          </cell>
          <cell r="J538">
            <v>0</v>
          </cell>
        </row>
        <row r="539">
          <cell r="F539">
            <v>0</v>
          </cell>
          <cell r="G539">
            <v>0</v>
          </cell>
          <cell r="J539">
            <v>0</v>
          </cell>
        </row>
        <row r="540">
          <cell r="F540">
            <v>0</v>
          </cell>
          <cell r="G540">
            <v>0</v>
          </cell>
          <cell r="J540">
            <v>0</v>
          </cell>
        </row>
        <row r="541">
          <cell r="F541">
            <v>0</v>
          </cell>
          <cell r="G541">
            <v>0</v>
          </cell>
          <cell r="J541">
            <v>0</v>
          </cell>
        </row>
        <row r="542">
          <cell r="F542">
            <v>0</v>
          </cell>
          <cell r="G542">
            <v>0</v>
          </cell>
          <cell r="J542">
            <v>0</v>
          </cell>
        </row>
        <row r="543">
          <cell r="F543">
            <v>0</v>
          </cell>
          <cell r="G543">
            <v>0</v>
          </cell>
          <cell r="J543">
            <v>0</v>
          </cell>
        </row>
        <row r="544">
          <cell r="F544">
            <v>0</v>
          </cell>
          <cell r="G544">
            <v>0</v>
          </cell>
          <cell r="J544">
            <v>0</v>
          </cell>
        </row>
        <row r="545">
          <cell r="F545">
            <v>0</v>
          </cell>
          <cell r="G545">
            <v>0</v>
          </cell>
          <cell r="J545">
            <v>0</v>
          </cell>
        </row>
        <row r="546">
          <cell r="F546">
            <v>0</v>
          </cell>
          <cell r="G546">
            <v>0</v>
          </cell>
          <cell r="J546">
            <v>0</v>
          </cell>
        </row>
        <row r="547">
          <cell r="F547">
            <v>0</v>
          </cell>
          <cell r="G547">
            <v>0</v>
          </cell>
          <cell r="J547">
            <v>0</v>
          </cell>
        </row>
        <row r="548">
          <cell r="F548">
            <v>0</v>
          </cell>
          <cell r="G548">
            <v>0</v>
          </cell>
          <cell r="J548">
            <v>0</v>
          </cell>
        </row>
        <row r="549">
          <cell r="F549">
            <v>0</v>
          </cell>
          <cell r="G549">
            <v>0</v>
          </cell>
          <cell r="J549">
            <v>0</v>
          </cell>
        </row>
        <row r="550">
          <cell r="F550">
            <v>0</v>
          </cell>
          <cell r="G550">
            <v>0</v>
          </cell>
          <cell r="J550">
            <v>0</v>
          </cell>
        </row>
        <row r="551">
          <cell r="F551">
            <v>0</v>
          </cell>
          <cell r="G551">
            <v>0</v>
          </cell>
          <cell r="J551">
            <v>0</v>
          </cell>
        </row>
        <row r="552">
          <cell r="F552">
            <v>0</v>
          </cell>
          <cell r="G552">
            <v>0</v>
          </cell>
          <cell r="J552">
            <v>0</v>
          </cell>
        </row>
        <row r="553">
          <cell r="F553">
            <v>0</v>
          </cell>
          <cell r="G553">
            <v>0</v>
          </cell>
          <cell r="J553">
            <v>0</v>
          </cell>
        </row>
        <row r="554">
          <cell r="F554">
            <v>0</v>
          </cell>
          <cell r="G554">
            <v>0</v>
          </cell>
          <cell r="J554">
            <v>0</v>
          </cell>
        </row>
        <row r="555">
          <cell r="F555">
            <v>0</v>
          </cell>
          <cell r="G555">
            <v>0</v>
          </cell>
          <cell r="J555">
            <v>0</v>
          </cell>
        </row>
        <row r="556">
          <cell r="F556">
            <v>0</v>
          </cell>
          <cell r="G556">
            <v>0</v>
          </cell>
          <cell r="J556">
            <v>0</v>
          </cell>
        </row>
        <row r="557">
          <cell r="F557">
            <v>0</v>
          </cell>
          <cell r="G557">
            <v>0</v>
          </cell>
          <cell r="J557">
            <v>0</v>
          </cell>
        </row>
        <row r="558">
          <cell r="F558">
            <v>0</v>
          </cell>
          <cell r="G558">
            <v>0</v>
          </cell>
          <cell r="J558">
            <v>0</v>
          </cell>
        </row>
        <row r="559">
          <cell r="F559">
            <v>0</v>
          </cell>
          <cell r="G559">
            <v>0</v>
          </cell>
          <cell r="J559">
            <v>0</v>
          </cell>
        </row>
        <row r="560">
          <cell r="F560">
            <v>0</v>
          </cell>
          <cell r="G560">
            <v>0</v>
          </cell>
          <cell r="J560">
            <v>0</v>
          </cell>
        </row>
        <row r="561">
          <cell r="F561">
            <v>0</v>
          </cell>
          <cell r="G561">
            <v>0</v>
          </cell>
          <cell r="J561">
            <v>0</v>
          </cell>
        </row>
        <row r="562">
          <cell r="F562">
            <v>0</v>
          </cell>
          <cell r="G562">
            <v>0</v>
          </cell>
          <cell r="J562">
            <v>0</v>
          </cell>
        </row>
        <row r="563">
          <cell r="F563">
            <v>0</v>
          </cell>
          <cell r="G563">
            <v>0</v>
          </cell>
          <cell r="J56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7A662-640B-4D50-BBC5-85234FDB286A}">
  <dimension ref="A1:U21"/>
  <sheetViews>
    <sheetView showZeros="0" tabSelected="1" zoomScale="115" zoomScaleNormal="115" zoomScaleSheetLayoutView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P10" sqref="P10"/>
    </sheetView>
  </sheetViews>
  <sheetFormatPr defaultRowHeight="12.75"/>
  <cols>
    <col min="1" max="1" width="17.140625" style="1" customWidth="1"/>
    <col min="2" max="2" width="17.140625" style="78" customWidth="1"/>
    <col min="3" max="3" width="12.28515625" style="78" bestFit="1" customWidth="1"/>
    <col min="4" max="4" width="14.28515625" style="78" bestFit="1" customWidth="1"/>
    <col min="5" max="5" width="10.5703125" style="79" bestFit="1" customWidth="1"/>
    <col min="6" max="6" width="12.42578125" style="9" bestFit="1" customWidth="1"/>
    <col min="7" max="7" width="9.140625" style="9" bestFit="1" customWidth="1"/>
    <col min="8" max="8" width="7.85546875" style="9" customWidth="1"/>
    <col min="9" max="12" width="12" style="9" customWidth="1"/>
    <col min="13" max="13" width="10.5703125" style="9" bestFit="1" customWidth="1"/>
    <col min="14" max="16" width="7.85546875" style="9" customWidth="1"/>
    <col min="17" max="17" width="9.7109375" style="9" customWidth="1"/>
    <col min="18" max="21" width="9.7109375" style="78" customWidth="1"/>
    <col min="22" max="16384" width="9.140625" style="9"/>
  </cols>
  <sheetData>
    <row r="1" spans="1:21" ht="25.5" customHeight="1">
      <c r="B1" s="2"/>
      <c r="C1" s="3" t="s">
        <v>0</v>
      </c>
      <c r="D1" s="3"/>
      <c r="E1" s="3"/>
      <c r="F1" s="3"/>
      <c r="G1" s="3"/>
      <c r="H1" s="3"/>
      <c r="I1" s="2"/>
      <c r="J1" s="2"/>
      <c r="K1" s="2"/>
      <c r="L1" s="2"/>
      <c r="M1" s="4"/>
      <c r="N1" s="5"/>
      <c r="O1" s="6" t="s">
        <v>1</v>
      </c>
      <c r="P1" s="7"/>
      <c r="Q1" s="6" t="s">
        <v>2</v>
      </c>
      <c r="R1" s="7"/>
      <c r="S1" s="6" t="s">
        <v>3</v>
      </c>
      <c r="T1" s="8"/>
      <c r="U1" s="7"/>
    </row>
    <row r="2" spans="1:21" ht="32.25" customHeight="1" thickBot="1">
      <c r="B2" s="10"/>
      <c r="C2" s="11" t="s">
        <v>4</v>
      </c>
      <c r="D2" s="11"/>
      <c r="E2" s="2"/>
      <c r="F2" s="12"/>
      <c r="G2" s="10"/>
      <c r="H2" s="4"/>
      <c r="I2" s="4"/>
      <c r="J2" s="4"/>
      <c r="K2" s="4"/>
      <c r="L2" s="4"/>
      <c r="M2" s="4"/>
      <c r="N2" s="5"/>
      <c r="O2" s="13"/>
      <c r="P2" s="14"/>
      <c r="Q2" s="13"/>
      <c r="R2" s="14"/>
      <c r="S2" s="13"/>
      <c r="T2" s="15"/>
      <c r="U2" s="14"/>
    </row>
    <row r="3" spans="1:21" ht="38.25" customHeight="1" thickBot="1">
      <c r="A3" s="16" t="s">
        <v>5</v>
      </c>
      <c r="B3" s="17"/>
      <c r="C3" s="18" t="s">
        <v>6</v>
      </c>
      <c r="D3" s="19"/>
      <c r="E3" s="20"/>
      <c r="F3" s="21"/>
      <c r="G3" s="22"/>
      <c r="H3" s="21"/>
      <c r="I3" s="20" t="s">
        <v>7</v>
      </c>
      <c r="J3" s="23"/>
      <c r="K3" s="23"/>
      <c r="L3" s="24"/>
      <c r="M3" s="25">
        <v>46303</v>
      </c>
      <c r="N3" s="26"/>
      <c r="O3" s="26"/>
      <c r="P3" s="26"/>
      <c r="Q3" s="26"/>
      <c r="R3" s="26"/>
      <c r="S3" s="26"/>
      <c r="T3" s="26"/>
      <c r="U3" s="27"/>
    </row>
    <row r="4" spans="1:21" ht="34.5" thickBot="1">
      <c r="A4" s="28" t="s">
        <v>8</v>
      </c>
      <c r="B4" s="29"/>
      <c r="C4" s="30" t="s">
        <v>9</v>
      </c>
      <c r="D4" s="31" t="s">
        <v>10</v>
      </c>
      <c r="E4" s="32" t="s">
        <v>11</v>
      </c>
      <c r="F4" s="33" t="s">
        <v>12</v>
      </c>
      <c r="G4" s="33" t="s">
        <v>13</v>
      </c>
      <c r="H4" s="34" t="s">
        <v>14</v>
      </c>
      <c r="I4" s="33" t="s">
        <v>15</v>
      </c>
      <c r="J4" s="33" t="s">
        <v>16</v>
      </c>
      <c r="K4" s="34" t="s">
        <v>17</v>
      </c>
      <c r="L4" s="34" t="s">
        <v>18</v>
      </c>
      <c r="M4" s="34" t="s">
        <v>19</v>
      </c>
      <c r="N4" s="35" t="s">
        <v>20</v>
      </c>
      <c r="O4" s="35"/>
      <c r="P4" s="35"/>
      <c r="Q4" s="35"/>
      <c r="R4" s="36" t="s">
        <v>21</v>
      </c>
      <c r="S4" s="30" t="s">
        <v>22</v>
      </c>
      <c r="T4" s="37" t="s">
        <v>23</v>
      </c>
      <c r="U4" s="38" t="s">
        <v>24</v>
      </c>
    </row>
    <row r="5" spans="1:21" ht="51.75" thickBot="1">
      <c r="A5" s="39" t="s">
        <v>25</v>
      </c>
      <c r="B5" s="40"/>
      <c r="C5" s="41" t="s">
        <v>26</v>
      </c>
      <c r="D5" s="42" t="s">
        <v>27</v>
      </c>
      <c r="E5" s="43" t="s">
        <v>28</v>
      </c>
      <c r="F5" s="44" t="s">
        <v>29</v>
      </c>
      <c r="G5" s="44" t="s">
        <v>30</v>
      </c>
      <c r="H5" s="45" t="s">
        <v>14</v>
      </c>
      <c r="I5" s="44" t="s">
        <v>31</v>
      </c>
      <c r="J5" s="44" t="s">
        <v>32</v>
      </c>
      <c r="K5" s="34" t="s">
        <v>17</v>
      </c>
      <c r="L5" s="34" t="s">
        <v>18</v>
      </c>
      <c r="M5" s="45" t="s">
        <v>33</v>
      </c>
      <c r="N5" s="46" t="s">
        <v>34</v>
      </c>
      <c r="O5" s="46" t="s">
        <v>35</v>
      </c>
      <c r="P5" s="46" t="s">
        <v>36</v>
      </c>
      <c r="Q5" s="47" t="s">
        <v>37</v>
      </c>
      <c r="R5" s="41" t="s">
        <v>38</v>
      </c>
      <c r="S5" s="41" t="s">
        <v>39</v>
      </c>
      <c r="T5" s="48" t="s">
        <v>40</v>
      </c>
      <c r="U5" s="49" t="s">
        <v>41</v>
      </c>
    </row>
    <row r="6" spans="1:21" ht="36.950000000000003" customHeight="1" thickTop="1">
      <c r="A6" s="50" t="str">
        <f>_xlfn.XLOOKUP($D6,'[1]DM Po'!$D:$D,'[1]DM Po'!G:G)</f>
        <v>50ct Pencil - USA.24</v>
      </c>
      <c r="B6" s="51" t="str">
        <f>_xlfn.XLOOKUP($D6,'[1]DM Po'!$D:$D,'[1]DM Po'!E:E)</f>
        <v>68-7406-0-002</v>
      </c>
      <c r="C6" s="52">
        <f>_xlfn.XLOOKUP($D6,'[1]DM Po'!$D:$D,'[1]DM Po'!F:F)</f>
        <v>6874060202</v>
      </c>
      <c r="D6" s="53">
        <v>5100357693</v>
      </c>
      <c r="E6" s="54">
        <f>_xlfn.XLOOKUP($D6,'[1]DM Po'!$D:$D,'[1]DM Po'!J:J)</f>
        <v>24960</v>
      </c>
      <c r="F6" s="55" t="s">
        <v>42</v>
      </c>
      <c r="G6" s="56">
        <v>8</v>
      </c>
      <c r="H6" s="57">
        <f>_xlfn.XLOOKUP(B6,'[1]DM SP'!$C:$C,'[1]DM SP'!I:I)</f>
        <v>50</v>
      </c>
      <c r="I6" s="58">
        <v>2200</v>
      </c>
      <c r="J6" s="58">
        <v>2200</v>
      </c>
      <c r="K6" s="58">
        <v>91</v>
      </c>
      <c r="L6" s="59">
        <f t="shared" ref="L6:L21" si="0">IFERROR(J6*H6,0)</f>
        <v>110000</v>
      </c>
      <c r="M6" s="60">
        <v>20</v>
      </c>
      <c r="N6" s="61">
        <v>0.33333333333333331</v>
      </c>
      <c r="O6" s="62">
        <v>0.70833333333333337</v>
      </c>
      <c r="P6" s="63">
        <v>80</v>
      </c>
      <c r="Q6" s="64">
        <f t="shared" ref="Q6:Q21" si="1">MOD(O6-N6,1)*24*60-P6</f>
        <v>460.00000000000011</v>
      </c>
      <c r="R6" s="51">
        <v>3</v>
      </c>
      <c r="S6" s="51"/>
      <c r="T6" s="65"/>
      <c r="U6" s="66" t="s">
        <v>43</v>
      </c>
    </row>
    <row r="7" spans="1:21" ht="36.950000000000003" customHeight="1">
      <c r="A7" s="50" t="str">
        <f>_xlfn.XLOOKUP($D7,'[1]DM Po'!$D:$D,'[1]DM Po'!G:G)</f>
        <v>Marlin</v>
      </c>
      <c r="B7" s="51" t="str">
        <f>_xlfn.XLOOKUP($D7,'[1]DM Po'!$D:$D,'[1]DM Po'!E:E)</f>
        <v>041L</v>
      </c>
      <c r="C7" s="52" t="str">
        <f>_xlfn.XLOOKUP($D7,'[1]DM Po'!$D:$D,'[1]DM Po'!F:F)</f>
        <v>ML041L</v>
      </c>
      <c r="D7" s="53" t="s">
        <v>44</v>
      </c>
      <c r="E7" s="54">
        <f>_xlfn.XLOOKUP($D7,'[1]DM Po'!$D:$D,'[1]DM Po'!J:J)</f>
        <v>115200</v>
      </c>
      <c r="F7" s="55" t="s">
        <v>45</v>
      </c>
      <c r="G7" s="56">
        <v>7</v>
      </c>
      <c r="H7" s="57">
        <f>_xlfn.XLOOKUP(B7,'[1]DM SP'!$C:$C,'[1]DM SP'!I:I)</f>
        <v>12</v>
      </c>
      <c r="I7" s="58">
        <v>4000</v>
      </c>
      <c r="J7" s="58">
        <v>4000</v>
      </c>
      <c r="K7" s="58">
        <v>27</v>
      </c>
      <c r="L7" s="59">
        <f t="shared" si="0"/>
        <v>48000</v>
      </c>
      <c r="M7" s="60">
        <v>35</v>
      </c>
      <c r="N7" s="61">
        <v>0.33333333333333331</v>
      </c>
      <c r="O7" s="62">
        <v>0.70833333333333337</v>
      </c>
      <c r="P7" s="63">
        <v>80</v>
      </c>
      <c r="Q7" s="64">
        <f t="shared" si="1"/>
        <v>460.00000000000011</v>
      </c>
      <c r="R7" s="51">
        <v>4</v>
      </c>
      <c r="S7" s="51"/>
      <c r="T7" s="65"/>
      <c r="U7" s="66" t="s">
        <v>43</v>
      </c>
    </row>
    <row r="8" spans="1:21" ht="36.950000000000003" customHeight="1">
      <c r="A8" s="50" t="str">
        <f>_xlfn.XLOOKUP($D8,'[1]DM Po'!$D:$D,'[1]DM Po'!G:G)</f>
        <v>Marlin</v>
      </c>
      <c r="B8" s="51" t="str">
        <f>_xlfn.XLOOKUP($D8,'[1]DM Po'!$D:$D,'[1]DM Po'!E:E)</f>
        <v>041L</v>
      </c>
      <c r="C8" s="52" t="str">
        <f>_xlfn.XLOOKUP($D8,'[1]DM Po'!$D:$D,'[1]DM Po'!F:F)</f>
        <v>ML041L</v>
      </c>
      <c r="D8" s="53" t="s">
        <v>44</v>
      </c>
      <c r="E8" s="54">
        <f>_xlfn.XLOOKUP($D8,'[1]DM Po'!$D:$D,'[1]DM Po'!J:J)</f>
        <v>115200</v>
      </c>
      <c r="F8" s="55" t="s">
        <v>45</v>
      </c>
      <c r="G8" s="56">
        <v>10</v>
      </c>
      <c r="H8" s="57">
        <f>_xlfn.XLOOKUP(B8,'[1]DM SP'!$C:$C,'[1]DM SP'!I:I)</f>
        <v>12</v>
      </c>
      <c r="I8" s="58">
        <v>4000</v>
      </c>
      <c r="J8" s="58">
        <v>3600</v>
      </c>
      <c r="K8" s="58">
        <v>25</v>
      </c>
      <c r="L8" s="59">
        <f t="shared" si="0"/>
        <v>43200</v>
      </c>
      <c r="M8" s="60">
        <v>22</v>
      </c>
      <c r="N8" s="61">
        <v>0.33333333333333331</v>
      </c>
      <c r="O8" s="62">
        <v>0.70833333333333337</v>
      </c>
      <c r="P8" s="63">
        <v>80</v>
      </c>
      <c r="Q8" s="64">
        <f t="shared" si="1"/>
        <v>460.00000000000011</v>
      </c>
      <c r="R8" s="51">
        <v>4</v>
      </c>
      <c r="S8" s="51"/>
      <c r="T8" s="65"/>
      <c r="U8" s="66" t="s">
        <v>43</v>
      </c>
    </row>
    <row r="9" spans="1:21" ht="36.950000000000003" customHeight="1">
      <c r="A9" s="50" t="str">
        <f>_xlfn.XLOOKUP($D9,'[1]DM Po'!$D:$D,'[1]DM Po'!G:G)</f>
        <v>Marlin</v>
      </c>
      <c r="B9" s="51" t="str">
        <f>_xlfn.XLOOKUP($D9,'[1]DM Po'!$D:$D,'[1]DM Po'!E:E)</f>
        <v>041L</v>
      </c>
      <c r="C9" s="52" t="str">
        <f>_xlfn.XLOOKUP($D9,'[1]DM Po'!$D:$D,'[1]DM Po'!F:F)</f>
        <v>ML041L</v>
      </c>
      <c r="D9" s="53" t="s">
        <v>44</v>
      </c>
      <c r="E9" s="54">
        <f>_xlfn.XLOOKUP($D9,'[1]DM Po'!$D:$D,'[1]DM Po'!J:J)</f>
        <v>115200</v>
      </c>
      <c r="F9" s="55" t="s">
        <v>45</v>
      </c>
      <c r="G9" s="56">
        <v>12</v>
      </c>
      <c r="H9" s="57">
        <f>_xlfn.XLOOKUP(B9,'[1]DM SP'!$C:$C,'[1]DM SP'!I:I)</f>
        <v>12</v>
      </c>
      <c r="I9" s="58">
        <v>4000</v>
      </c>
      <c r="J9" s="58">
        <v>4400</v>
      </c>
      <c r="K9" s="58">
        <v>30</v>
      </c>
      <c r="L9" s="59">
        <f t="shared" si="0"/>
        <v>52800</v>
      </c>
      <c r="M9" s="60">
        <v>11</v>
      </c>
      <c r="N9" s="61">
        <v>0.33333333333333331</v>
      </c>
      <c r="O9" s="62">
        <v>0.70833333333333337</v>
      </c>
      <c r="P9" s="63">
        <v>80</v>
      </c>
      <c r="Q9" s="64">
        <f t="shared" si="1"/>
        <v>460.00000000000011</v>
      </c>
      <c r="R9" s="51">
        <v>4</v>
      </c>
      <c r="S9" s="51"/>
      <c r="T9" s="65"/>
      <c r="U9" s="66" t="s">
        <v>43</v>
      </c>
    </row>
    <row r="10" spans="1:21" ht="36.950000000000003" customHeight="1">
      <c r="A10" s="50">
        <f>_xlfn.XLOOKUP($D10,'[1]DM Po'!$D:$D,'[1]DM Po'!G:G)</f>
        <v>0</v>
      </c>
      <c r="B10" s="51">
        <f>_xlfn.XLOOKUP($D10,'[1]DM Po'!$D:$D,'[1]DM Po'!E:E)</f>
        <v>0</v>
      </c>
      <c r="C10" s="52">
        <f>_xlfn.XLOOKUP($D10,'[1]DM Po'!$D:$D,'[1]DM Po'!F:F)</f>
        <v>0</v>
      </c>
      <c r="D10" s="53"/>
      <c r="E10" s="54">
        <f>_xlfn.XLOOKUP($D10,'[1]DM Po'!$D:$D,'[1]DM Po'!J:J)</f>
        <v>0</v>
      </c>
      <c r="F10" s="56"/>
      <c r="G10" s="56"/>
      <c r="H10" s="57" t="e">
        <f>_xlfn.XLOOKUP(B10,'[1]DM SP'!$C:$C,'[1]DM SP'!I:I)</f>
        <v>#N/A</v>
      </c>
      <c r="I10" s="58"/>
      <c r="J10" s="58"/>
      <c r="K10" s="58"/>
      <c r="L10" s="59">
        <f t="shared" si="0"/>
        <v>0</v>
      </c>
      <c r="M10" s="60"/>
      <c r="N10" s="61"/>
      <c r="O10" s="62"/>
      <c r="P10" s="56"/>
      <c r="Q10" s="64"/>
      <c r="R10" s="51"/>
      <c r="S10" s="51"/>
      <c r="T10" s="65"/>
      <c r="U10" s="66"/>
    </row>
    <row r="11" spans="1:21" ht="36.950000000000003" customHeight="1">
      <c r="A11" s="50">
        <f>_xlfn.XLOOKUP($D11,'[1]DM Po'!$D:$D,'[1]DM Po'!G:G)</f>
        <v>0</v>
      </c>
      <c r="B11" s="51">
        <f>_xlfn.XLOOKUP($D11,'[1]DM Po'!$D:$D,'[1]DM Po'!E:E)</f>
        <v>0</v>
      </c>
      <c r="C11" s="52">
        <f>_xlfn.XLOOKUP($D11,'[1]DM Po'!$D:$D,'[1]DM Po'!F:F)</f>
        <v>0</v>
      </c>
      <c r="D11" s="53"/>
      <c r="E11" s="54">
        <f>_xlfn.XLOOKUP($D11,'[1]DM Po'!$D:$D,'[1]DM Po'!J:J)</f>
        <v>0</v>
      </c>
      <c r="F11" s="56"/>
      <c r="G11" s="56"/>
      <c r="H11" s="57" t="e">
        <f>_xlfn.XLOOKUP(B11,'[1]DM SP'!$C:$C,'[1]DM SP'!I:I)</f>
        <v>#N/A</v>
      </c>
      <c r="I11" s="58"/>
      <c r="J11" s="58"/>
      <c r="K11" s="58"/>
      <c r="L11" s="59">
        <f t="shared" si="0"/>
        <v>0</v>
      </c>
      <c r="M11" s="60"/>
      <c r="N11" s="61"/>
      <c r="O11" s="62"/>
      <c r="P11" s="56"/>
      <c r="Q11" s="64">
        <f t="shared" si="1"/>
        <v>0</v>
      </c>
      <c r="R11" s="51"/>
      <c r="S11" s="51"/>
      <c r="T11" s="65"/>
      <c r="U11" s="66"/>
    </row>
    <row r="12" spans="1:21" ht="36.950000000000003" customHeight="1">
      <c r="A12" s="50">
        <f>_xlfn.XLOOKUP($D12,'[1]DM Po'!$D:$D,'[1]DM Po'!G:G)</f>
        <v>0</v>
      </c>
      <c r="B12" s="51">
        <f>_xlfn.XLOOKUP($D12,'[1]DM Po'!$D:$D,'[1]DM Po'!E:E)</f>
        <v>0</v>
      </c>
      <c r="C12" s="52">
        <f>_xlfn.XLOOKUP($D12,'[1]DM Po'!$D:$D,'[1]DM Po'!F:F)</f>
        <v>0</v>
      </c>
      <c r="D12" s="53"/>
      <c r="E12" s="54">
        <f>_xlfn.XLOOKUP($D12,'[1]DM Po'!$D:$D,'[1]DM Po'!J:J)</f>
        <v>0</v>
      </c>
      <c r="F12" s="56"/>
      <c r="G12" s="56"/>
      <c r="H12" s="57" t="e">
        <f>_xlfn.XLOOKUP(B12,'[1]DM SP'!$C:$C,'[1]DM SP'!I:I)</f>
        <v>#N/A</v>
      </c>
      <c r="I12" s="58"/>
      <c r="J12" s="58"/>
      <c r="K12" s="58"/>
      <c r="L12" s="59">
        <f t="shared" si="0"/>
        <v>0</v>
      </c>
      <c r="M12" s="60"/>
      <c r="N12" s="61"/>
      <c r="O12" s="62"/>
      <c r="P12" s="56"/>
      <c r="Q12" s="64">
        <f t="shared" si="1"/>
        <v>0</v>
      </c>
      <c r="R12" s="51"/>
      <c r="S12" s="51"/>
      <c r="T12" s="65"/>
      <c r="U12" s="66"/>
    </row>
    <row r="13" spans="1:21" ht="36.950000000000003" customHeight="1">
      <c r="A13" s="50">
        <f>_xlfn.XLOOKUP($D13,'[1]DM Po'!$D:$D,'[1]DM Po'!G:G)</f>
        <v>0</v>
      </c>
      <c r="B13" s="51">
        <f>_xlfn.XLOOKUP($D13,'[1]DM Po'!$D:$D,'[1]DM Po'!E:E)</f>
        <v>0</v>
      </c>
      <c r="C13" s="52">
        <f>_xlfn.XLOOKUP($D13,'[1]DM Po'!$D:$D,'[1]DM Po'!F:F)</f>
        <v>0</v>
      </c>
      <c r="D13" s="53"/>
      <c r="E13" s="54">
        <f>_xlfn.XLOOKUP($D13,'[1]DM Po'!$D:$D,'[1]DM Po'!J:J)</f>
        <v>0</v>
      </c>
      <c r="F13" s="56"/>
      <c r="G13" s="56"/>
      <c r="H13" s="57" t="e">
        <f>_xlfn.XLOOKUP(B13,'[1]DM SP'!$C:$C,'[1]DM SP'!I:I)</f>
        <v>#N/A</v>
      </c>
      <c r="I13" s="58"/>
      <c r="J13" s="58"/>
      <c r="K13" s="58"/>
      <c r="L13" s="59">
        <f t="shared" si="0"/>
        <v>0</v>
      </c>
      <c r="M13" s="60"/>
      <c r="N13" s="61"/>
      <c r="O13" s="62"/>
      <c r="P13" s="56"/>
      <c r="Q13" s="64"/>
      <c r="R13" s="51"/>
      <c r="S13" s="51"/>
      <c r="T13" s="65"/>
      <c r="U13" s="66"/>
    </row>
    <row r="14" spans="1:21" ht="36.950000000000003" customHeight="1">
      <c r="A14" s="50">
        <f>_xlfn.XLOOKUP($D14,'[1]DM Po'!$D:$D,'[1]DM Po'!G:G)</f>
        <v>0</v>
      </c>
      <c r="B14" s="51">
        <f>_xlfn.XLOOKUP($D14,'[1]DM Po'!$D:$D,'[1]DM Po'!E:E)</f>
        <v>0</v>
      </c>
      <c r="C14" s="52">
        <f>_xlfn.XLOOKUP($D14,'[1]DM Po'!$D:$D,'[1]DM Po'!F:F)</f>
        <v>0</v>
      </c>
      <c r="D14" s="53"/>
      <c r="E14" s="54">
        <f>_xlfn.XLOOKUP($D14,'[1]DM Po'!$D:$D,'[1]DM Po'!J:J)</f>
        <v>0</v>
      </c>
      <c r="F14" s="56"/>
      <c r="G14" s="56"/>
      <c r="H14" s="57" t="e">
        <f>_xlfn.XLOOKUP(B14,'[1]DM SP'!$C:$C,'[1]DM SP'!I:I)</f>
        <v>#N/A</v>
      </c>
      <c r="I14" s="58"/>
      <c r="J14" s="58"/>
      <c r="K14" s="58"/>
      <c r="L14" s="59">
        <f t="shared" si="0"/>
        <v>0</v>
      </c>
      <c r="M14" s="60"/>
      <c r="N14" s="61"/>
      <c r="O14" s="62"/>
      <c r="P14" s="56"/>
      <c r="Q14" s="64">
        <f t="shared" si="1"/>
        <v>0</v>
      </c>
      <c r="R14" s="51"/>
      <c r="S14" s="51"/>
      <c r="T14" s="65"/>
      <c r="U14" s="66"/>
    </row>
    <row r="15" spans="1:21" ht="36.950000000000003" customHeight="1">
      <c r="A15" s="50">
        <f>_xlfn.XLOOKUP($D15,'[1]DM Po'!$D:$D,'[1]DM Po'!G:G)</f>
        <v>0</v>
      </c>
      <c r="B15" s="51">
        <f>_xlfn.XLOOKUP($D15,'[1]DM Po'!$D:$D,'[1]DM Po'!E:E)</f>
        <v>0</v>
      </c>
      <c r="C15" s="52">
        <f>_xlfn.XLOOKUP($D15,'[1]DM Po'!$D:$D,'[1]DM Po'!F:F)</f>
        <v>0</v>
      </c>
      <c r="D15" s="53"/>
      <c r="E15" s="54">
        <f>_xlfn.XLOOKUP($D15,'[1]DM Po'!$D:$D,'[1]DM Po'!J:J)</f>
        <v>0</v>
      </c>
      <c r="F15" s="56"/>
      <c r="G15" s="56"/>
      <c r="H15" s="57" t="e">
        <f>_xlfn.XLOOKUP(B15,'[1]DM SP'!$C:$C,'[1]DM SP'!I:I)</f>
        <v>#N/A</v>
      </c>
      <c r="I15" s="58"/>
      <c r="J15" s="58"/>
      <c r="K15" s="58"/>
      <c r="L15" s="59">
        <f t="shared" si="0"/>
        <v>0</v>
      </c>
      <c r="M15" s="60"/>
      <c r="N15" s="61"/>
      <c r="O15" s="62"/>
      <c r="P15" s="56"/>
      <c r="Q15" s="64">
        <f t="shared" si="1"/>
        <v>0</v>
      </c>
      <c r="R15" s="51"/>
      <c r="S15" s="51"/>
      <c r="T15" s="65"/>
      <c r="U15" s="66"/>
    </row>
    <row r="16" spans="1:21" ht="36.950000000000003" customHeight="1">
      <c r="A16" s="50">
        <f>_xlfn.XLOOKUP($D16,'[1]DM Po'!$D:$D,'[1]DM Po'!G:G)</f>
        <v>0</v>
      </c>
      <c r="B16" s="51">
        <f>_xlfn.XLOOKUP($D16,'[1]DM Po'!$D:$D,'[1]DM Po'!E:E)</f>
        <v>0</v>
      </c>
      <c r="C16" s="52">
        <f>_xlfn.XLOOKUP($D16,'[1]DM Po'!$D:$D,'[1]DM Po'!F:F)</f>
        <v>0</v>
      </c>
      <c r="D16" s="53"/>
      <c r="E16" s="54">
        <f>_xlfn.XLOOKUP($D16,'[1]DM Po'!$D:$D,'[1]DM Po'!J:J)</f>
        <v>0</v>
      </c>
      <c r="F16" s="56"/>
      <c r="G16" s="56"/>
      <c r="H16" s="57" t="e">
        <f>_xlfn.XLOOKUP(B16,'[1]DM SP'!$C:$C,'[1]DM SP'!I:I)</f>
        <v>#N/A</v>
      </c>
      <c r="I16" s="58"/>
      <c r="J16" s="58"/>
      <c r="K16" s="58"/>
      <c r="L16" s="59">
        <f t="shared" si="0"/>
        <v>0</v>
      </c>
      <c r="M16" s="60"/>
      <c r="N16" s="61"/>
      <c r="O16" s="62"/>
      <c r="P16" s="56"/>
      <c r="Q16" s="64">
        <f t="shared" si="1"/>
        <v>0</v>
      </c>
      <c r="R16" s="51"/>
      <c r="S16" s="51"/>
      <c r="T16" s="65"/>
      <c r="U16" s="66"/>
    </row>
    <row r="17" spans="1:21" ht="36.950000000000003" customHeight="1">
      <c r="A17" s="50">
        <f>_xlfn.XLOOKUP($D17,'[1]DM Po'!$D:$D,'[1]DM Po'!G:G)</f>
        <v>0</v>
      </c>
      <c r="B17" s="51">
        <f>_xlfn.XLOOKUP($D17,'[1]DM Po'!$D:$D,'[1]DM Po'!E:E)</f>
        <v>0</v>
      </c>
      <c r="C17" s="52">
        <f>_xlfn.XLOOKUP($D17,'[1]DM Po'!$D:$D,'[1]DM Po'!F:F)</f>
        <v>0</v>
      </c>
      <c r="D17" s="53"/>
      <c r="E17" s="54">
        <f>_xlfn.XLOOKUP($D17,'[1]DM Po'!$D:$D,'[1]DM Po'!J:J)</f>
        <v>0</v>
      </c>
      <c r="F17" s="56"/>
      <c r="G17" s="56"/>
      <c r="H17" s="57" t="e">
        <f>_xlfn.XLOOKUP(B17,'[1]DM SP'!$C:$C,'[1]DM SP'!I:I)</f>
        <v>#N/A</v>
      </c>
      <c r="I17" s="58"/>
      <c r="J17" s="58"/>
      <c r="K17" s="58"/>
      <c r="L17" s="59">
        <f t="shared" si="0"/>
        <v>0</v>
      </c>
      <c r="M17" s="60"/>
      <c r="N17" s="61"/>
      <c r="O17" s="62"/>
      <c r="P17" s="56"/>
      <c r="Q17" s="64">
        <f t="shared" si="1"/>
        <v>0</v>
      </c>
      <c r="R17" s="51"/>
      <c r="S17" s="51"/>
      <c r="T17" s="65"/>
      <c r="U17" s="66"/>
    </row>
    <row r="18" spans="1:21" ht="36.950000000000003" customHeight="1">
      <c r="A18" s="50">
        <f>_xlfn.XLOOKUP($D18,'[1]DM Po'!$D:$D,'[1]DM Po'!G:G)</f>
        <v>0</v>
      </c>
      <c r="B18" s="51">
        <f>_xlfn.XLOOKUP($D18,'[1]DM Po'!$D:$D,'[1]DM Po'!E:E)</f>
        <v>0</v>
      </c>
      <c r="C18" s="52">
        <f>_xlfn.XLOOKUP($D18,'[1]DM Po'!$D:$D,'[1]DM Po'!F:F)</f>
        <v>0</v>
      </c>
      <c r="D18" s="53"/>
      <c r="E18" s="54">
        <f>_xlfn.XLOOKUP($D18,'[1]DM Po'!$D:$D,'[1]DM Po'!J:J)</f>
        <v>0</v>
      </c>
      <c r="F18" s="56"/>
      <c r="G18" s="56"/>
      <c r="H18" s="57" t="e">
        <f>_xlfn.XLOOKUP(B18,'[1]DM SP'!$C:$C,'[1]DM SP'!I:I)</f>
        <v>#N/A</v>
      </c>
      <c r="I18" s="58"/>
      <c r="J18" s="58"/>
      <c r="K18" s="58"/>
      <c r="L18" s="59">
        <f t="shared" si="0"/>
        <v>0</v>
      </c>
      <c r="M18" s="60"/>
      <c r="N18" s="56"/>
      <c r="O18" s="56"/>
      <c r="P18" s="56"/>
      <c r="Q18" s="64">
        <f t="shared" si="1"/>
        <v>0</v>
      </c>
      <c r="R18" s="51"/>
      <c r="S18" s="51"/>
      <c r="T18" s="65"/>
      <c r="U18" s="66"/>
    </row>
    <row r="19" spans="1:21" ht="36.950000000000003" customHeight="1">
      <c r="A19" s="50">
        <f>_xlfn.XLOOKUP($D19,'[1]DM Po'!$D:$D,'[1]DM Po'!G:G)</f>
        <v>0</v>
      </c>
      <c r="B19" s="51">
        <f>_xlfn.XLOOKUP($D19,'[1]DM Po'!$D:$D,'[1]DM Po'!E:E)</f>
        <v>0</v>
      </c>
      <c r="C19" s="52">
        <f>_xlfn.XLOOKUP($D19,'[1]DM Po'!$D:$D,'[1]DM Po'!F:F)</f>
        <v>0</v>
      </c>
      <c r="D19" s="53"/>
      <c r="E19" s="54">
        <f>_xlfn.XLOOKUP($D19,'[1]DM Po'!$D:$D,'[1]DM Po'!J:J)</f>
        <v>0</v>
      </c>
      <c r="F19" s="56"/>
      <c r="G19" s="56"/>
      <c r="H19" s="57" t="e">
        <f>_xlfn.XLOOKUP(B19,'[1]DM SP'!$C:$C,'[1]DM SP'!I:I)</f>
        <v>#N/A</v>
      </c>
      <c r="I19" s="58"/>
      <c r="J19" s="58"/>
      <c r="K19" s="58"/>
      <c r="L19" s="59">
        <f t="shared" si="0"/>
        <v>0</v>
      </c>
      <c r="M19" s="60"/>
      <c r="N19" s="56"/>
      <c r="O19" s="56"/>
      <c r="P19" s="56"/>
      <c r="Q19" s="64">
        <f t="shared" si="1"/>
        <v>0</v>
      </c>
      <c r="R19" s="51"/>
      <c r="S19" s="51"/>
      <c r="T19" s="65"/>
      <c r="U19" s="66"/>
    </row>
    <row r="20" spans="1:21" ht="36.950000000000003" customHeight="1">
      <c r="A20" s="50">
        <f>_xlfn.XLOOKUP($D20,'[1]DM Po'!$D:$D,'[1]DM Po'!G:G)</f>
        <v>0</v>
      </c>
      <c r="B20" s="51">
        <f>_xlfn.XLOOKUP($D20,'[1]DM Po'!$D:$D,'[1]DM Po'!E:E)</f>
        <v>0</v>
      </c>
      <c r="C20" s="52">
        <f>_xlfn.XLOOKUP($D20,'[1]DM Po'!$D:$D,'[1]DM Po'!F:F)</f>
        <v>0</v>
      </c>
      <c r="D20" s="53"/>
      <c r="E20" s="54">
        <f>_xlfn.XLOOKUP($D20,'[1]DM Po'!$D:$D,'[1]DM Po'!J:J)</f>
        <v>0</v>
      </c>
      <c r="F20" s="56"/>
      <c r="G20" s="56"/>
      <c r="H20" s="57" t="e">
        <f>_xlfn.XLOOKUP(B20,'[1]DM SP'!$C:$C,'[1]DM SP'!I:I)</f>
        <v>#N/A</v>
      </c>
      <c r="I20" s="58"/>
      <c r="J20" s="58"/>
      <c r="K20" s="58"/>
      <c r="L20" s="59">
        <f t="shared" si="0"/>
        <v>0</v>
      </c>
      <c r="M20" s="60"/>
      <c r="N20" s="56"/>
      <c r="O20" s="56"/>
      <c r="P20" s="56"/>
      <c r="Q20" s="64">
        <f t="shared" si="1"/>
        <v>0</v>
      </c>
      <c r="R20" s="51"/>
      <c r="S20" s="51"/>
      <c r="T20" s="65"/>
      <c r="U20" s="66"/>
    </row>
    <row r="21" spans="1:21" ht="36.950000000000003" customHeight="1" thickBot="1">
      <c r="A21" s="67">
        <f>_xlfn.XLOOKUP($D21,'[1]DM Po'!$D:$D,'[1]DM Po'!G:G)</f>
        <v>0</v>
      </c>
      <c r="B21" s="68">
        <f>_xlfn.XLOOKUP($D21,'[1]DM Po'!$D:$D,'[1]DM Po'!E:E)</f>
        <v>0</v>
      </c>
      <c r="C21" s="69">
        <f>_xlfn.XLOOKUP($D21,'[1]DM Po'!$D:$D,'[1]DM Po'!F:F)</f>
        <v>0</v>
      </c>
      <c r="D21" s="53"/>
      <c r="E21" s="54">
        <f>_xlfn.XLOOKUP($D21,'[1]DM Po'!$D:$D,'[1]DM Po'!J:J)</f>
        <v>0</v>
      </c>
      <c r="F21" s="56"/>
      <c r="G21" s="56"/>
      <c r="H21" s="70" t="e">
        <f>_xlfn.XLOOKUP(B21,'[1]DM SP'!$C:$C,'[1]DM SP'!I:I)</f>
        <v>#N/A</v>
      </c>
      <c r="I21" s="71"/>
      <c r="J21" s="71"/>
      <c r="K21" s="71"/>
      <c r="L21" s="72">
        <f t="shared" si="0"/>
        <v>0</v>
      </c>
      <c r="M21" s="73"/>
      <c r="N21" s="74"/>
      <c r="O21" s="74"/>
      <c r="P21" s="74"/>
      <c r="Q21" s="75">
        <f t="shared" si="1"/>
        <v>0</v>
      </c>
      <c r="R21" s="68"/>
      <c r="S21" s="68"/>
      <c r="T21" s="76"/>
      <c r="U21" s="77"/>
    </row>
  </sheetData>
  <mergeCells count="4">
    <mergeCell ref="A3:B3"/>
    <mergeCell ref="M3:U3"/>
    <mergeCell ref="A4:B4"/>
    <mergeCell ref="A5:B5"/>
  </mergeCells>
  <conditionalFormatting sqref="D6">
    <cfRule type="duplicateValues" dxfId="33" priority="34"/>
    <cfRule type="duplicateValues" dxfId="34" priority="35"/>
    <cfRule type="duplicateValues" dxfId="35" priority="36"/>
  </conditionalFormatting>
  <conditionalFormatting sqref="D7">
    <cfRule type="duplicateValues" dxfId="32" priority="4"/>
    <cfRule type="duplicateValues" dxfId="31" priority="5"/>
    <cfRule type="duplicateValues" dxfId="30" priority="6"/>
  </conditionalFormatting>
  <conditionalFormatting sqref="D8:D9">
    <cfRule type="duplicateValues" dxfId="27" priority="1"/>
    <cfRule type="duplicateValues" dxfId="29" priority="2"/>
    <cfRule type="duplicateValues" dxfId="28" priority="3"/>
  </conditionalFormatting>
  <conditionalFormatting sqref="D10 D12:D14">
    <cfRule type="duplicateValues" dxfId="26" priority="31"/>
    <cfRule type="duplicateValues" dxfId="25" priority="32"/>
    <cfRule type="duplicateValues" dxfId="24" priority="33"/>
  </conditionalFormatting>
  <conditionalFormatting sqref="D11">
    <cfRule type="duplicateValues" dxfId="23" priority="7"/>
    <cfRule type="duplicateValues" dxfId="22" priority="8"/>
    <cfRule type="duplicateValues" dxfId="21" priority="9"/>
  </conditionalFormatting>
  <conditionalFormatting sqref="D15">
    <cfRule type="duplicateValues" dxfId="20" priority="16"/>
    <cfRule type="duplicateValues" dxfId="18" priority="17"/>
    <cfRule type="duplicateValues" dxfId="19" priority="18"/>
  </conditionalFormatting>
  <conditionalFormatting sqref="D16">
    <cfRule type="duplicateValues" dxfId="17" priority="13"/>
    <cfRule type="duplicateValues" dxfId="16" priority="14"/>
    <cfRule type="duplicateValues" dxfId="15" priority="15"/>
  </conditionalFormatting>
  <conditionalFormatting sqref="D17">
    <cfRule type="duplicateValues" dxfId="14" priority="10"/>
    <cfRule type="duplicateValues" dxfId="13" priority="11"/>
    <cfRule type="duplicateValues" dxfId="12" priority="12"/>
  </conditionalFormatting>
  <conditionalFormatting sqref="D18">
    <cfRule type="duplicateValues" dxfId="11" priority="28"/>
    <cfRule type="duplicateValues" dxfId="10" priority="29"/>
    <cfRule type="duplicateValues" dxfId="9" priority="30"/>
  </conditionalFormatting>
  <conditionalFormatting sqref="D19">
    <cfRule type="duplicateValues" dxfId="8" priority="25"/>
    <cfRule type="duplicateValues" dxfId="7" priority="26"/>
    <cfRule type="duplicateValues" dxfId="6" priority="27"/>
  </conditionalFormatting>
  <conditionalFormatting sqref="D20">
    <cfRule type="duplicateValues" dxfId="5" priority="22"/>
    <cfRule type="duplicateValues" dxfId="4" priority="23"/>
    <cfRule type="duplicateValues" dxfId="3" priority="24"/>
  </conditionalFormatting>
  <conditionalFormatting sqref="D21">
    <cfRule type="duplicateValues" dxfId="0" priority="19"/>
    <cfRule type="duplicateValues" dxfId="2" priority="20"/>
    <cfRule type="duplicateValues" dxfId="1" priority="21"/>
  </conditionalFormatting>
  <printOptions horizontalCentered="1"/>
  <pageMargins left="0.15748031496062992" right="0.15748031496062992" top="0.31496062992125984" bottom="0.19685039370078741" header="0.31496062992125984" footer="0.31496062992125984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Báo cáo (2)</vt:lpstr>
      <vt:lpstr>'Báo cáo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Kang</dc:creator>
  <cp:lastModifiedBy>Janice Kang</cp:lastModifiedBy>
  <dcterms:created xsi:type="dcterms:W3CDTF">2026-10-09T01:08:04Z</dcterms:created>
  <dcterms:modified xsi:type="dcterms:W3CDTF">2026-10-09T01:08:23Z</dcterms:modified>
</cp:coreProperties>
</file>