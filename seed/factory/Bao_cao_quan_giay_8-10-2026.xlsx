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OCAO10-2026\"/>
    </mc:Choice>
  </mc:AlternateContent>
  <xr:revisionPtr revIDLastSave="0" documentId="13_ncr:1_{8F4899F4-DE82-4E58-9E14-5C231507AA66}" xr6:coauthVersionLast="47" xr6:coauthVersionMax="47" xr10:uidLastSave="{00000000-0000-0000-0000-000000000000}"/>
  <bookViews>
    <workbookView xWindow="-120" yWindow="-120" windowWidth="29040" windowHeight="15840" xr2:uid="{30B8A1F8-33F9-440E-9523-FD4165B1EA9C}"/>
  </bookViews>
  <sheets>
    <sheet name="Sheet1" sheetId="1" r:id="rId1"/>
    <sheet name="Sheet4" sheetId="4" r:id="rId2"/>
    <sheet name="Sheet3" sheetId="3" r:id="rId3"/>
  </sheets>
  <definedNames>
    <definedName name="_xlnm.Print_Area" localSheetId="0">Sheet1!$B$1:$U$46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1" l="1"/>
  <c r="U17" i="1"/>
  <c r="W18" i="1"/>
  <c r="W17" i="1"/>
  <c r="AB5" i="1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H34" i="4"/>
  <c r="I34" i="4"/>
  <c r="J34" i="4" s="1"/>
  <c r="H35" i="4"/>
  <c r="I35" i="4"/>
  <c r="J35" i="4"/>
  <c r="H36" i="4"/>
  <c r="I36" i="4"/>
  <c r="J36" i="4" s="1"/>
  <c r="H37" i="4"/>
  <c r="I37" i="4" s="1"/>
  <c r="J37" i="4" s="1"/>
  <c r="H38" i="4"/>
  <c r="I38" i="4"/>
  <c r="J38" i="4"/>
  <c r="H39" i="4"/>
  <c r="I39" i="4" s="1"/>
  <c r="J39" i="4" s="1"/>
  <c r="H40" i="4"/>
  <c r="I40" i="4"/>
  <c r="J40" i="4"/>
  <c r="H41" i="4"/>
  <c r="I41" i="4"/>
  <c r="J41" i="4"/>
  <c r="H42" i="4"/>
  <c r="I42" i="4"/>
  <c r="J42" i="4" s="1"/>
  <c r="H43" i="4"/>
  <c r="I43" i="4"/>
  <c r="J43" i="4"/>
  <c r="H44" i="4"/>
  <c r="I44" i="4"/>
  <c r="J44" i="4" s="1"/>
  <c r="H45" i="4"/>
  <c r="I45" i="4" s="1"/>
  <c r="J45" i="4" s="1"/>
  <c r="H46" i="4"/>
  <c r="I46" i="4"/>
  <c r="J46" i="4"/>
  <c r="H47" i="4"/>
  <c r="I47" i="4" s="1"/>
  <c r="J47" i="4" s="1"/>
  <c r="H48" i="4"/>
  <c r="I48" i="4"/>
  <c r="J48" i="4"/>
  <c r="H49" i="4"/>
  <c r="I49" i="4"/>
  <c r="J49" i="4"/>
  <c r="H50" i="4"/>
  <c r="I50" i="4"/>
  <c r="J50" i="4" s="1"/>
  <c r="H51" i="4"/>
  <c r="I51" i="4"/>
  <c r="J51" i="4"/>
  <c r="H52" i="4"/>
  <c r="I52" i="4"/>
  <c r="J52" i="4" s="1"/>
  <c r="H53" i="4"/>
  <c r="I53" i="4" s="1"/>
  <c r="J53" i="4" s="1"/>
  <c r="H54" i="4"/>
  <c r="I54" i="4"/>
  <c r="J54" i="4"/>
  <c r="H55" i="4"/>
  <c r="I55" i="4" s="1"/>
  <c r="J55" i="4" s="1"/>
  <c r="H56" i="4"/>
  <c r="I56" i="4"/>
  <c r="J56" i="4"/>
  <c r="H57" i="4"/>
  <c r="I57" i="4"/>
  <c r="J57" i="4"/>
  <c r="H58" i="4"/>
  <c r="I58" i="4"/>
  <c r="J58" i="4"/>
  <c r="H59" i="4"/>
  <c r="I59" i="4"/>
  <c r="J59" i="4"/>
  <c r="H60" i="4"/>
  <c r="I60" i="4"/>
  <c r="J60" i="4" s="1"/>
  <c r="H61" i="4"/>
  <c r="I61" i="4"/>
  <c r="J61" i="4"/>
  <c r="H62" i="4"/>
  <c r="I62" i="4"/>
  <c r="J62" i="4"/>
  <c r="H63" i="4"/>
  <c r="I63" i="4" s="1"/>
  <c r="J63" i="4" s="1"/>
  <c r="H64" i="4"/>
  <c r="I64" i="4"/>
  <c r="J64" i="4"/>
  <c r="H65" i="4"/>
  <c r="I65" i="4"/>
  <c r="J65" i="4"/>
  <c r="H66" i="4"/>
  <c r="I66" i="4"/>
  <c r="J66" i="4" s="1"/>
  <c r="H67" i="4"/>
  <c r="I67" i="4"/>
  <c r="J67" i="4"/>
  <c r="H68" i="4"/>
  <c r="I68" i="4"/>
  <c r="J68" i="4" s="1"/>
  <c r="H69" i="4"/>
  <c r="I69" i="4" s="1"/>
  <c r="J69" i="4" s="1"/>
  <c r="H70" i="4"/>
  <c r="I70" i="4"/>
  <c r="J70" i="4"/>
  <c r="H71" i="4"/>
  <c r="I71" i="4" s="1"/>
  <c r="J71" i="4" s="1"/>
  <c r="H72" i="4"/>
  <c r="I72" i="4"/>
  <c r="J72" i="4"/>
  <c r="H73" i="4"/>
  <c r="I73" i="4"/>
  <c r="J73" i="4"/>
  <c r="H74" i="4"/>
  <c r="I74" i="4"/>
  <c r="J74" i="4"/>
  <c r="H5" i="4"/>
  <c r="I5" i="4" s="1"/>
  <c r="J5" i="4" s="1"/>
  <c r="H6" i="4"/>
  <c r="I6" i="4"/>
  <c r="J6" i="4"/>
  <c r="H7" i="4"/>
  <c r="I7" i="4"/>
  <c r="J7" i="4" s="1"/>
  <c r="H8" i="4"/>
  <c r="I8" i="4"/>
  <c r="J8" i="4"/>
  <c r="H9" i="4"/>
  <c r="I9" i="4"/>
  <c r="J9" i="4"/>
  <c r="H10" i="4"/>
  <c r="I10" i="4" s="1"/>
  <c r="J10" i="4" s="1"/>
  <c r="H11" i="4"/>
  <c r="I11" i="4"/>
  <c r="J11" i="4"/>
  <c r="H12" i="4"/>
  <c r="I12" i="4"/>
  <c r="J12" i="4"/>
  <c r="H13" i="4"/>
  <c r="I13" i="4" s="1"/>
  <c r="J13" i="4" s="1"/>
  <c r="H14" i="4"/>
  <c r="I14" i="4"/>
  <c r="J14" i="4"/>
  <c r="H15" i="4"/>
  <c r="I15" i="4"/>
  <c r="J15" i="4" s="1"/>
  <c r="H16" i="4"/>
  <c r="I16" i="4"/>
  <c r="J16" i="4"/>
  <c r="H17" i="4"/>
  <c r="I17" i="4"/>
  <c r="J17" i="4"/>
  <c r="H18" i="4"/>
  <c r="I18" i="4" s="1"/>
  <c r="J18" i="4" s="1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 s="1"/>
  <c r="H24" i="4"/>
  <c r="I24" i="4"/>
  <c r="J24" i="4"/>
  <c r="H25" i="4"/>
  <c r="I25" i="4"/>
  <c r="J25" i="4"/>
  <c r="H26" i="4"/>
  <c r="I26" i="4" s="1"/>
  <c r="J26" i="4" s="1"/>
  <c r="H27" i="4"/>
  <c r="I27" i="4"/>
  <c r="J27" i="4"/>
  <c r="H28" i="4"/>
  <c r="I28" i="4"/>
  <c r="J28" i="4"/>
  <c r="H29" i="4"/>
  <c r="I29" i="4"/>
  <c r="J29" i="4"/>
  <c r="H30" i="4"/>
  <c r="I30" i="4"/>
  <c r="J30" i="4"/>
  <c r="H31" i="4"/>
  <c r="I31" i="4"/>
  <c r="J31" i="4" s="1"/>
  <c r="H32" i="4"/>
  <c r="I32" i="4"/>
  <c r="J32" i="4"/>
  <c r="H33" i="4"/>
  <c r="I33" i="4"/>
  <c r="J33" i="4"/>
  <c r="H4" i="4"/>
  <c r="I4" i="4" s="1"/>
  <c r="J4" i="4" s="1"/>
  <c r="D43" i="1"/>
  <c r="E43" i="1"/>
  <c r="E42" i="1"/>
  <c r="D42" i="1"/>
  <c r="D39" i="1"/>
  <c r="E39" i="1"/>
  <c r="D40" i="1"/>
  <c r="E40" i="1"/>
  <c r="E9" i="1"/>
  <c r="E10" i="1"/>
  <c r="E11" i="1"/>
  <c r="E12" i="1"/>
  <c r="E13" i="1"/>
  <c r="E14" i="1"/>
  <c r="E15" i="1"/>
  <c r="E16" i="1"/>
  <c r="E17" i="1"/>
  <c r="E18" i="1"/>
  <c r="E8" i="1"/>
  <c r="E7" i="1"/>
  <c r="L40" i="1"/>
  <c r="J40" i="1"/>
  <c r="L39" i="1"/>
  <c r="J39" i="1"/>
  <c r="W8" i="1"/>
  <c r="W9" i="1"/>
  <c r="W10" i="1"/>
  <c r="W11" i="1"/>
  <c r="W12" i="1"/>
  <c r="W13" i="1"/>
  <c r="W14" i="1"/>
  <c r="W15" i="1"/>
  <c r="W16" i="1"/>
  <c r="W30" i="1"/>
  <c r="W7" i="1"/>
  <c r="U8" i="1"/>
  <c r="U9" i="1"/>
  <c r="U10" i="1"/>
  <c r="U11" i="1"/>
  <c r="U12" i="1"/>
  <c r="U13" i="1"/>
  <c r="U14" i="1"/>
  <c r="U15" i="1"/>
  <c r="U16" i="1"/>
  <c r="U30" i="1"/>
  <c r="U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8" authorId="0" shapeId="0" xr:uid="{E63F8CE8-0D0C-44FD-93A7-C6A65D14D156}">
      <text>
        <r>
          <rPr>
            <b/>
            <sz val="12"/>
            <color indexed="81"/>
            <rFont val="Tahoma"/>
            <family val="2"/>
          </rPr>
          <t>Manual packing</t>
        </r>
      </text>
    </comment>
    <comment ref="C39" authorId="0" shapeId="0" xr:uid="{49F87D87-AD4C-43A3-AC10-C3AD5049809C}">
      <text>
        <r>
          <rPr>
            <b/>
            <sz val="12"/>
            <color indexed="81"/>
            <rFont val="Tahoma"/>
            <family val="2"/>
          </rPr>
          <t>Manual packing</t>
        </r>
      </text>
    </comment>
  </commentList>
</comments>
</file>

<file path=xl/sharedStrings.xml><?xml version="1.0" encoding="utf-8"?>
<sst xmlns="http://schemas.openxmlformats.org/spreadsheetml/2006/main" count="2433" uniqueCount="668">
  <si>
    <t>Plan qty(ea)</t>
    <phoneticPr fontId="1" type="noConversion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</si>
  <si>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charset val="129"/>
        <scheme val="minor"/>
      </rPr>
      <t xml:space="preserve">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Calibri"/>
        <family val="2"/>
        <charset val="129"/>
        <scheme val="minor"/>
      </rPr>
      <t>ng đ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charset val="129"/>
        <scheme val="minor"/>
      </rPr>
      <t>t (ea)</t>
    </r>
    <phoneticPr fontId="1" type="noConversion"/>
  </si>
  <si>
    <t>Real qty(ea)</t>
    <phoneticPr fontId="1" type="noConversion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</si>
  <si>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charset val="129"/>
        <scheme val="minor"/>
      </rPr>
      <t xml:space="preserve">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Calibri"/>
        <family val="2"/>
        <charset val="129"/>
        <scheme val="minor"/>
      </rPr>
      <t>ng s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charset val="129"/>
        <scheme val="minor"/>
      </rPr>
      <t>n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charset val="129"/>
        <scheme val="minor"/>
      </rPr>
      <t>t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charset val="129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charset val="129"/>
        <scheme val="minor"/>
      </rPr>
      <t xml:space="preserve"> (ea)</t>
    </r>
    <phoneticPr fontId="1" type="noConversion"/>
  </si>
  <si>
    <t>⑤ Product Code</t>
    <phoneticPr fontId="1" type="noConversion"/>
  </si>
  <si>
    <t>⑤ Mã hàng (Code)</t>
    <phoneticPr fontId="1" type="noConversion"/>
  </si>
  <si>
    <t>④ Products Color</t>
    <phoneticPr fontId="1" type="noConversion"/>
  </si>
  <si>
    <t>② MC No.</t>
    <phoneticPr fontId="1" type="noConversion"/>
  </si>
  <si>
    <t>WR</t>
    <phoneticPr fontId="1" type="noConversion"/>
  </si>
  <si>
    <t>③ Target product</t>
    <phoneticPr fontId="1" type="noConversion"/>
  </si>
  <si>
    <t>Yellow</t>
  </si>
  <si>
    <t>White</t>
  </si>
  <si>
    <t>Black</t>
  </si>
  <si>
    <t>PK</t>
    <phoneticPr fontId="1" type="noConversion"/>
  </si>
  <si>
    <r>
      <rPr>
        <sz val="13"/>
        <color theme="1"/>
        <rFont val="맑은 고딕"/>
        <family val="3"/>
        <charset val="129"/>
      </rPr>
      <t xml:space="preserve">① </t>
    </r>
    <r>
      <rPr>
        <sz val="13"/>
        <color theme="1"/>
        <rFont val="Calibri"/>
        <family val="2"/>
        <charset val="129"/>
        <scheme val="minor"/>
      </rPr>
      <t>MC</t>
    </r>
    <phoneticPr fontId="1" type="noConversion"/>
  </si>
  <si>
    <r>
      <t>① Tên thi</t>
    </r>
    <r>
      <rPr>
        <sz val="13"/>
        <color theme="1"/>
        <rFont val="Calibri"/>
        <family val="2"/>
        <charset val="163"/>
      </rPr>
      <t>ế</t>
    </r>
    <r>
      <rPr>
        <sz val="13"/>
        <color theme="1"/>
        <rFont val="Calibri"/>
        <family val="2"/>
        <charset val="129"/>
        <scheme val="minor"/>
      </rPr>
      <t>t b</t>
    </r>
    <r>
      <rPr>
        <sz val="13"/>
        <color theme="1"/>
        <rFont val="Calibri"/>
        <family val="2"/>
        <charset val="163"/>
      </rPr>
      <t>ị</t>
    </r>
    <phoneticPr fontId="1" type="noConversion"/>
  </si>
  <si>
    <r>
      <t>② Mã thi</t>
    </r>
    <r>
      <rPr>
        <sz val="13"/>
        <color theme="1"/>
        <rFont val="Calibri"/>
        <family val="2"/>
        <charset val="163"/>
      </rPr>
      <t>ế</t>
    </r>
    <r>
      <rPr>
        <sz val="13"/>
        <color theme="1"/>
        <rFont val="Calibri"/>
        <family val="2"/>
        <charset val="129"/>
        <scheme val="minor"/>
      </rPr>
      <t>t b</t>
    </r>
    <r>
      <rPr>
        <sz val="13"/>
        <color theme="1"/>
        <rFont val="Calibri"/>
        <family val="2"/>
        <charset val="163"/>
      </rPr>
      <t>ị</t>
    </r>
    <phoneticPr fontId="1" type="noConversion"/>
  </si>
  <si>
    <r>
      <t>③ S</t>
    </r>
    <r>
      <rPr>
        <sz val="13"/>
        <color theme="1"/>
        <rFont val="Calibri"/>
        <family val="2"/>
        <charset val="163"/>
      </rPr>
      <t>ả</t>
    </r>
    <r>
      <rPr>
        <sz val="13"/>
        <color theme="1"/>
        <rFont val="Calibri"/>
        <family val="2"/>
        <charset val="129"/>
        <scheme val="minor"/>
      </rPr>
      <t>n ph</t>
    </r>
    <r>
      <rPr>
        <sz val="13"/>
        <color theme="1"/>
        <rFont val="Calibri"/>
        <family val="2"/>
        <charset val="163"/>
      </rPr>
      <t>ẩ</t>
    </r>
    <r>
      <rPr>
        <sz val="13"/>
        <color theme="1"/>
        <rFont val="Calibri"/>
        <family val="2"/>
        <charset val="129"/>
        <scheme val="minor"/>
      </rPr>
      <t>m m</t>
    </r>
    <r>
      <rPr>
        <sz val="13"/>
        <color theme="1"/>
        <rFont val="Calibri"/>
        <family val="2"/>
        <charset val="163"/>
      </rPr>
      <t>ụ</t>
    </r>
    <r>
      <rPr>
        <sz val="13"/>
        <color theme="1"/>
        <rFont val="Calibri"/>
        <family val="2"/>
        <charset val="129"/>
        <scheme val="minor"/>
      </rPr>
      <t>c tiêu</t>
    </r>
    <phoneticPr fontId="1" type="noConversion"/>
  </si>
  <si>
    <r>
      <t>④ Màu s</t>
    </r>
    <r>
      <rPr>
        <sz val="13"/>
        <color theme="1"/>
        <rFont val="Calibri"/>
        <family val="2"/>
        <charset val="163"/>
      </rPr>
      <t>ắ</t>
    </r>
    <r>
      <rPr>
        <sz val="13"/>
        <color theme="1"/>
        <rFont val="Calibri"/>
        <family val="2"/>
        <charset val="129"/>
        <scheme val="minor"/>
      </rPr>
      <t>c s</t>
    </r>
    <r>
      <rPr>
        <sz val="13"/>
        <color theme="1"/>
        <rFont val="Calibri"/>
        <family val="2"/>
        <charset val="163"/>
      </rPr>
      <t>ả</t>
    </r>
    <r>
      <rPr>
        <sz val="13"/>
        <color theme="1"/>
        <rFont val="Calibri"/>
        <family val="2"/>
        <charset val="129"/>
        <scheme val="minor"/>
      </rPr>
      <t>n ph</t>
    </r>
    <r>
      <rPr>
        <sz val="13"/>
        <color theme="1"/>
        <rFont val="Calibri"/>
        <family val="2"/>
        <charset val="163"/>
      </rPr>
      <t>ẩ</t>
    </r>
    <r>
      <rPr>
        <sz val="13"/>
        <color theme="1"/>
        <rFont val="Calibri"/>
        <family val="2"/>
        <charset val="129"/>
        <scheme val="minor"/>
      </rPr>
      <t>m</t>
    </r>
    <phoneticPr fontId="1" type="noConversion"/>
  </si>
  <si>
    <t>Gold</t>
    <phoneticPr fontId="1" type="noConversion"/>
  </si>
  <si>
    <t>M</t>
    <phoneticPr fontId="1" type="noConversion"/>
  </si>
  <si>
    <t>⑥ PO No.</t>
    <phoneticPr fontId="1" type="noConversion"/>
  </si>
  <si>
    <r>
      <t>⑥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PO</t>
    </r>
    <phoneticPr fontId="1" type="noConversion"/>
  </si>
  <si>
    <t>⑦ PO Qty(ea)</t>
    <phoneticPr fontId="1" type="noConversion"/>
  </si>
  <si>
    <t>⑪⑨ NG qty (ea)</t>
    <phoneticPr fontId="1" type="noConversion"/>
  </si>
  <si>
    <r>
      <t>⑪⑨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NG (ea)</t>
    </r>
    <phoneticPr fontId="1" type="noConversion"/>
  </si>
  <si>
    <t>⑧ qty/set</t>
    <phoneticPr fontId="1" type="noConversion"/>
  </si>
  <si>
    <t>⑨-1 Plan qty(ea)</t>
    <phoneticPr fontId="1" type="noConversion"/>
  </si>
  <si>
    <r>
      <t>⑨-1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đ</t>
    </r>
    <r>
      <rPr>
        <sz val="13"/>
        <color theme="1"/>
        <rFont val="Calibri"/>
        <family val="2"/>
        <charset val="163"/>
      </rPr>
      <t>ạ</t>
    </r>
    <r>
      <rPr>
        <sz val="13"/>
        <color theme="1"/>
        <rFont val="Calibri"/>
        <family val="2"/>
        <charset val="129"/>
        <scheme val="minor"/>
      </rPr>
      <t>t (ea)</t>
    </r>
    <phoneticPr fontId="1" type="noConversion"/>
  </si>
  <si>
    <t>⑨-2 Plan qty(set)</t>
    <phoneticPr fontId="1" type="noConversion"/>
  </si>
  <si>
    <r>
      <t>⑨-2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đ</t>
    </r>
    <r>
      <rPr>
        <sz val="13"/>
        <color theme="1"/>
        <rFont val="Calibri"/>
        <family val="2"/>
        <charset val="163"/>
      </rPr>
      <t>ạ</t>
    </r>
    <r>
      <rPr>
        <sz val="13"/>
        <color theme="1"/>
        <rFont val="Calibri"/>
        <family val="2"/>
        <charset val="129"/>
        <scheme val="minor"/>
      </rPr>
      <t>t(set)</t>
    </r>
    <phoneticPr fontId="1" type="noConversion"/>
  </si>
  <si>
    <t>⑩-1 OK qty(ea)</t>
    <phoneticPr fontId="1" type="noConversion"/>
  </si>
  <si>
    <r>
      <t>⑩-1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s</t>
    </r>
    <r>
      <rPr>
        <sz val="13"/>
        <color theme="1"/>
        <rFont val="Calibri"/>
        <family val="2"/>
        <charset val="163"/>
      </rPr>
      <t>ả</t>
    </r>
    <r>
      <rPr>
        <sz val="13"/>
        <color theme="1"/>
        <rFont val="Calibri"/>
        <family val="2"/>
        <charset val="129"/>
        <scheme val="minor"/>
      </rPr>
      <t>n ph</t>
    </r>
    <r>
      <rPr>
        <sz val="13"/>
        <color theme="1"/>
        <rFont val="Calibri"/>
        <family val="2"/>
        <charset val="163"/>
      </rPr>
      <t>ẩ</t>
    </r>
    <r>
      <rPr>
        <sz val="13"/>
        <color theme="1"/>
        <rFont val="Calibri"/>
        <family val="2"/>
        <charset val="129"/>
        <scheme val="minor"/>
      </rPr>
      <t>m OK (ea)</t>
    </r>
    <phoneticPr fontId="1" type="noConversion"/>
  </si>
  <si>
    <t>⑩-2 OK qty(set)</t>
    <phoneticPr fontId="1" type="noConversion"/>
  </si>
  <si>
    <r>
      <t>⑩-2 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s</t>
    </r>
    <r>
      <rPr>
        <sz val="13"/>
        <color theme="1"/>
        <rFont val="Calibri"/>
        <family val="2"/>
        <charset val="163"/>
      </rPr>
      <t>ả</t>
    </r>
    <r>
      <rPr>
        <sz val="13"/>
        <color theme="1"/>
        <rFont val="Calibri"/>
        <family val="2"/>
        <charset val="129"/>
        <scheme val="minor"/>
      </rPr>
      <t>n ph</t>
    </r>
    <r>
      <rPr>
        <sz val="13"/>
        <color theme="1"/>
        <rFont val="Calibri"/>
        <family val="2"/>
        <charset val="163"/>
      </rPr>
      <t>ẩ</t>
    </r>
    <r>
      <rPr>
        <sz val="13"/>
        <color theme="1"/>
        <rFont val="Calibri"/>
        <family val="2"/>
        <charset val="129"/>
        <scheme val="minor"/>
      </rPr>
      <t>m OK(set)</t>
    </r>
    <phoneticPr fontId="1" type="noConversion"/>
  </si>
  <si>
    <t>⑫ Working Time(min)</t>
    <phoneticPr fontId="1" type="noConversion"/>
  </si>
  <si>
    <r>
      <t>⑫ Th</t>
    </r>
    <r>
      <rPr>
        <sz val="13"/>
        <color theme="1"/>
        <rFont val="Calibri"/>
        <family val="2"/>
        <charset val="163"/>
      </rPr>
      <t>ờ</t>
    </r>
    <r>
      <rPr>
        <sz val="13"/>
        <color theme="1"/>
        <rFont val="Calibri"/>
        <family val="2"/>
        <charset val="129"/>
        <scheme val="minor"/>
      </rPr>
      <t>i gian (min)</t>
    </r>
    <phoneticPr fontId="1" type="noConversion"/>
  </si>
  <si>
    <t>⑬ Man power</t>
    <phoneticPr fontId="1" type="noConversion"/>
  </si>
  <si>
    <t>⑬ Công nhân</t>
    <phoneticPr fontId="1" type="noConversion"/>
  </si>
  <si>
    <r>
      <rPr>
        <sz val="13"/>
        <color theme="1"/>
        <rFont val="맑은 고딕"/>
        <family val="3"/>
        <charset val="129"/>
      </rPr>
      <t>⑭</t>
    </r>
    <r>
      <rPr>
        <sz val="13"/>
        <color theme="1"/>
        <rFont val="Calibri"/>
        <family val="2"/>
        <charset val="129"/>
        <scheme val="minor"/>
      </rPr>
      <t xml:space="preserve"> stop MC(min)</t>
    </r>
    <phoneticPr fontId="1" type="noConversion"/>
  </si>
  <si>
    <r>
      <t>⑭ Th</t>
    </r>
    <r>
      <rPr>
        <sz val="13"/>
        <color theme="1"/>
        <rFont val="Calibri"/>
        <family val="2"/>
        <charset val="163"/>
      </rPr>
      <t>ờ</t>
    </r>
    <r>
      <rPr>
        <sz val="13"/>
        <color theme="1"/>
        <rFont val="Calibri"/>
        <family val="2"/>
        <charset val="129"/>
        <scheme val="minor"/>
      </rPr>
      <t>i gian ng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29"/>
        <scheme val="minor"/>
      </rPr>
      <t>ng máy (min)</t>
    </r>
    <phoneticPr fontId="1" type="noConversion"/>
  </si>
  <si>
    <r>
      <rPr>
        <sz val="13"/>
        <color theme="1"/>
        <rFont val="맑은 고딕"/>
        <family val="3"/>
        <charset val="129"/>
      </rPr>
      <t>⑮</t>
    </r>
    <r>
      <rPr>
        <sz val="13"/>
        <color theme="1"/>
        <rFont val="Calibri"/>
        <family val="2"/>
        <charset val="129"/>
        <scheme val="minor"/>
      </rPr>
      <t xml:space="preserve"> DAY/NIGHT</t>
    </r>
    <phoneticPr fontId="1" type="noConversion"/>
  </si>
  <si>
    <t xml:space="preserve">⑮ Ca ngày / Ca đêm
</t>
    <phoneticPr fontId="1" type="noConversion"/>
  </si>
  <si>
    <r>
      <t xml:space="preserve">      </t>
    </r>
    <r>
      <rPr>
        <b/>
        <sz val="20"/>
        <color indexed="8"/>
        <rFont val="MS Gothic"/>
        <family val="1"/>
      </rPr>
      <t>생</t>
    </r>
    <r>
      <rPr>
        <b/>
        <sz val="20"/>
        <color indexed="8"/>
        <rFont val="Times New Roman"/>
        <family val="1"/>
      </rPr>
      <t xml:space="preserve"> </t>
    </r>
    <r>
      <rPr>
        <b/>
        <sz val="20"/>
        <color indexed="8"/>
        <rFont val="MS Gothic"/>
        <family val="1"/>
      </rPr>
      <t>산</t>
    </r>
    <r>
      <rPr>
        <b/>
        <sz val="20"/>
        <color indexed="8"/>
        <rFont val="Times New Roman"/>
        <family val="1"/>
      </rPr>
      <t xml:space="preserve"> </t>
    </r>
    <r>
      <rPr>
        <b/>
        <sz val="20"/>
        <color indexed="8"/>
        <rFont val="MS Gothic"/>
        <family val="1"/>
      </rPr>
      <t>일</t>
    </r>
    <r>
      <rPr>
        <b/>
        <sz val="20"/>
        <color indexed="8"/>
        <rFont val="Times New Roman"/>
        <family val="1"/>
      </rPr>
      <t xml:space="preserve"> </t>
    </r>
    <r>
      <rPr>
        <b/>
        <sz val="20"/>
        <color indexed="8"/>
        <rFont val="MS Gothic"/>
        <family val="1"/>
      </rPr>
      <t>보</t>
    </r>
    <r>
      <rPr>
        <b/>
        <sz val="20"/>
        <color indexed="8"/>
        <rFont val="Times New Roman"/>
        <family val="1"/>
      </rPr>
      <t xml:space="preserve">                                                                </t>
    </r>
  </si>
  <si>
    <t>BÁO CÁO SẢN XUẤT HÀNG NGÀY</t>
  </si>
  <si>
    <r>
      <t xml:space="preserve">1. </t>
    </r>
    <r>
      <rPr>
        <sz val="14"/>
        <color indexed="8"/>
        <rFont val="돋움"/>
        <family val="1"/>
      </rPr>
      <t>작업장명</t>
    </r>
    <r>
      <rPr>
        <sz val="14"/>
        <color indexed="8"/>
        <rFont val="Times New Roman"/>
        <family val="1"/>
      </rPr>
      <t xml:space="preserve">                                 Tên công đoạn</t>
    </r>
  </si>
  <si>
    <r>
      <t xml:space="preserve">2. </t>
    </r>
    <r>
      <rPr>
        <sz val="14"/>
        <color indexed="8"/>
        <rFont val="돋움"/>
        <family val="1"/>
      </rPr>
      <t>생산일자</t>
    </r>
    <r>
      <rPr>
        <sz val="14"/>
        <color indexed="8"/>
        <rFont val="Times New Roman"/>
        <family val="1"/>
      </rPr>
      <t xml:space="preserve">                           Ngày sản xuất</t>
    </r>
  </si>
  <si>
    <t xml:space="preserve">  Paper wrapped pencils  
Quấn giấy bọc bút chì         </t>
  </si>
  <si>
    <t>AMOCSBK</t>
  </si>
  <si>
    <t>Amos Case - Black</t>
  </si>
  <si>
    <t>[Nguyên vật liệu phụ]</t>
  </si>
  <si>
    <t>AMOS</t>
  </si>
  <si>
    <t>Manila case</t>
  </si>
  <si>
    <t>GLASS</t>
  </si>
  <si>
    <t>AMOCSBLU</t>
  </si>
  <si>
    <t>Amos Case - Blue</t>
  </si>
  <si>
    <t>Manila Case</t>
  </si>
  <si>
    <t>AMOCSGRE</t>
  </si>
  <si>
    <t>Amos Case - Green</t>
  </si>
  <si>
    <t>MANILA CASE</t>
  </si>
  <si>
    <t>AMOCSRD</t>
  </si>
  <si>
    <t>Amos Case - Red</t>
  </si>
  <si>
    <t>AMOCSWH</t>
  </si>
  <si>
    <t>Amos Case - White</t>
  </si>
  <si>
    <t>AMOCSYL</t>
  </si>
  <si>
    <t>Amos Case - Yellow</t>
  </si>
  <si>
    <t>AMOSBLU</t>
  </si>
  <si>
    <t>AMOS - BLUE</t>
  </si>
  <si>
    <t>[Thành phẩm]</t>
  </si>
  <si>
    <t>FG</t>
  </si>
  <si>
    <t>AMOSCTP</t>
  </si>
  <si>
    <t>AMOS - GLASS CARTON</t>
  </si>
  <si>
    <t>Carton</t>
  </si>
  <si>
    <t>AMOSINP</t>
  </si>
  <si>
    <t>AMOS - GLASS INNER</t>
  </si>
  <si>
    <t>Inner Case</t>
  </si>
  <si>
    <t>AMOWH</t>
  </si>
  <si>
    <t>AMOS - WHITE</t>
  </si>
  <si>
    <t>AMOYL</t>
  </si>
  <si>
    <t>Yellow - AMos</t>
  </si>
  <si>
    <t>APRBNM</t>
  </si>
  <si>
    <t>Apricot - BNM</t>
  </si>
  <si>
    <t>[Bán thành phẩm]</t>
  </si>
  <si>
    <t>BINIMOY</t>
  </si>
  <si>
    <t>Printing</t>
  </si>
  <si>
    <t>APRDS</t>
  </si>
  <si>
    <t>Daiso - Apricot</t>
  </si>
  <si>
    <t>DAISO</t>
  </si>
  <si>
    <t>APRGG</t>
  </si>
  <si>
    <t>Gum Gum - Apricot</t>
  </si>
  <si>
    <t>GUM GUM</t>
  </si>
  <si>
    <t>APRPD</t>
  </si>
  <si>
    <t>Panda - Apricot</t>
  </si>
  <si>
    <t>PANDA</t>
  </si>
  <si>
    <t>ASABK</t>
  </si>
  <si>
    <t>ASABA - Black</t>
  </si>
  <si>
    <t>ASABA</t>
  </si>
  <si>
    <t>ASABLU</t>
  </si>
  <si>
    <t>ASABA - BLUE</t>
  </si>
  <si>
    <t>ASAGRE</t>
  </si>
  <si>
    <t>ASABA - GREEN</t>
  </si>
  <si>
    <t>ASARD</t>
  </si>
  <si>
    <t>ASABA - RED</t>
  </si>
  <si>
    <t>ASAVIO</t>
  </si>
  <si>
    <t>ASABA - VIOLET</t>
  </si>
  <si>
    <t>ASAWH</t>
  </si>
  <si>
    <t>ASABA - White</t>
  </si>
  <si>
    <t>ASAYL</t>
  </si>
  <si>
    <t>ASABA - Yellow</t>
  </si>
  <si>
    <t>ASDZCS</t>
  </si>
  <si>
    <t>ASABA - DOZEN CASE</t>
  </si>
  <si>
    <t>Packing</t>
  </si>
  <si>
    <t>BCBK</t>
  </si>
  <si>
    <t>Black - Baco</t>
  </si>
  <si>
    <t>BACO</t>
  </si>
  <si>
    <t>BCBLU</t>
  </si>
  <si>
    <t>Blue - Baco</t>
  </si>
  <si>
    <t>BCGRE</t>
  </si>
  <si>
    <t>Green - Baco</t>
  </si>
  <si>
    <t>BCOBKCS</t>
  </si>
  <si>
    <t>Black - Baco Negro</t>
  </si>
  <si>
    <t>BCOBKIN</t>
  </si>
  <si>
    <t>BCOBLUCS</t>
  </si>
  <si>
    <t>Blue - Baco Azul</t>
  </si>
  <si>
    <t>BCOBLUIN</t>
  </si>
  <si>
    <t>BCOGRECS</t>
  </si>
  <si>
    <t>Green - Baco Verde</t>
  </si>
  <si>
    <t>BCOGREIN</t>
  </si>
  <si>
    <t>BCORDCS</t>
  </si>
  <si>
    <t>Red - Baco Rojo</t>
  </si>
  <si>
    <t>BCORDIN</t>
  </si>
  <si>
    <t>BCOWHCS</t>
  </si>
  <si>
    <t>White - Baco Blanco</t>
  </si>
  <si>
    <t>BCOWHIN</t>
  </si>
  <si>
    <t>BCOYLCS</t>
  </si>
  <si>
    <t>Yellow - Baco Amarillo</t>
  </si>
  <si>
    <t>BCOYLIN</t>
  </si>
  <si>
    <t>BCRD</t>
  </si>
  <si>
    <t>Red - Baco</t>
  </si>
  <si>
    <t>BCWH</t>
  </si>
  <si>
    <t>White - Baco</t>
  </si>
  <si>
    <t>BCYL</t>
  </si>
  <si>
    <t>Yellow - Baco</t>
  </si>
  <si>
    <t>BKASB</t>
  </si>
  <si>
    <t>Black - Asaba</t>
  </si>
  <si>
    <t>BKBCO</t>
  </si>
  <si>
    <t>BKBNM</t>
  </si>
  <si>
    <t>Black - BNM</t>
  </si>
  <si>
    <t>BKBSK</t>
  </si>
  <si>
    <t>Black - BSK</t>
  </si>
  <si>
    <t>BOSUNG KOREA</t>
  </si>
  <si>
    <t>BKDS</t>
  </si>
  <si>
    <t>Daiso - Black</t>
  </si>
  <si>
    <t>BKGG</t>
  </si>
  <si>
    <t>Gum Gum - Black</t>
  </si>
  <si>
    <t>BKJKO</t>
  </si>
  <si>
    <t>JOYKO - BLACK</t>
  </si>
  <si>
    <t>JOYKO</t>
  </si>
  <si>
    <t>BKLIO</t>
  </si>
  <si>
    <t>Black - Lion</t>
  </si>
  <si>
    <t>LION</t>
  </si>
  <si>
    <t>BKPD</t>
  </si>
  <si>
    <t>Panda - Black</t>
  </si>
  <si>
    <t>BLUAMO</t>
  </si>
  <si>
    <t>Blue - AMos</t>
  </si>
  <si>
    <t>BLUASB</t>
  </si>
  <si>
    <t>Blue - Asaba</t>
  </si>
  <si>
    <t>BLUBCO</t>
  </si>
  <si>
    <t>BLUBNM</t>
  </si>
  <si>
    <t>Light Blue - BNM</t>
  </si>
  <si>
    <t>BLUBSK</t>
  </si>
  <si>
    <t>Blue - BSK</t>
  </si>
  <si>
    <t>BLUDS</t>
  </si>
  <si>
    <t>Daiso - Blue</t>
  </si>
  <si>
    <t>BLUGG</t>
  </si>
  <si>
    <t>Gum Gum - Blue</t>
  </si>
  <si>
    <t>BLUJKO</t>
  </si>
  <si>
    <t>JOYKO - BLUE (Dark)</t>
  </si>
  <si>
    <t>BLULIO</t>
  </si>
  <si>
    <t>Light Blue - Lion</t>
  </si>
  <si>
    <t>BLUPD</t>
  </si>
  <si>
    <t>Panda - Blue</t>
  </si>
  <si>
    <t>BNM001</t>
  </si>
  <si>
    <t>Binimoy 12 color/set</t>
  </si>
  <si>
    <t>BNM12CT</t>
  </si>
  <si>
    <t>Binimoy - 12color/set</t>
  </si>
  <si>
    <t>BNM2401</t>
  </si>
  <si>
    <t>BNM - White</t>
  </si>
  <si>
    <t>BNM2402</t>
  </si>
  <si>
    <t>BNM - Red</t>
  </si>
  <si>
    <t>BNM2403</t>
  </si>
  <si>
    <t>BNM - Orange</t>
  </si>
  <si>
    <t>BNM2404</t>
  </si>
  <si>
    <t>BNM - Yellow</t>
  </si>
  <si>
    <t>BNM2405</t>
  </si>
  <si>
    <t>BNM - Light Green</t>
  </si>
  <si>
    <t>BNM2406</t>
  </si>
  <si>
    <t>BNM - Green</t>
  </si>
  <si>
    <t>BNM2407</t>
  </si>
  <si>
    <t>BNM - Sky Blue</t>
  </si>
  <si>
    <t>BNM2408</t>
  </si>
  <si>
    <t>BNM - Blue (Lt)</t>
  </si>
  <si>
    <t>BNM2409</t>
  </si>
  <si>
    <t>BNM - Violet</t>
  </si>
  <si>
    <t>BNM2410</t>
  </si>
  <si>
    <t>BNM - Ocher</t>
  </si>
  <si>
    <t>BNM2411</t>
  </si>
  <si>
    <t>BNM - Brown</t>
  </si>
  <si>
    <t>BNM2412</t>
  </si>
  <si>
    <t>BNM - Blạck</t>
  </si>
  <si>
    <t>BNM2413</t>
  </si>
  <si>
    <t>BNM - Pink</t>
  </si>
  <si>
    <t>BNM2414</t>
  </si>
  <si>
    <t>BNM - Apricot</t>
  </si>
  <si>
    <t>BNM2415</t>
  </si>
  <si>
    <t>BNM - Silver</t>
  </si>
  <si>
    <t>BNM2416</t>
  </si>
  <si>
    <t>BNM - Gold</t>
  </si>
  <si>
    <t>BNMAR</t>
  </si>
  <si>
    <t>Binimoy - APRICOT</t>
  </si>
  <si>
    <t>BNMBK</t>
  </si>
  <si>
    <t>Binimoy - BLACK</t>
  </si>
  <si>
    <t>BNMBLU</t>
  </si>
  <si>
    <t>Binimoy - BLUE (Lt)</t>
  </si>
  <si>
    <t>BNMOC</t>
  </si>
  <si>
    <t>Binimoy - YELLOW OCHER</t>
  </si>
  <si>
    <t>BNMOR</t>
  </si>
  <si>
    <t>Binimoy - ORANGE</t>
  </si>
  <si>
    <t>BNMPK</t>
  </si>
  <si>
    <t>Binimoy - PINK</t>
  </si>
  <si>
    <t>BNMRD</t>
  </si>
  <si>
    <t>Binimoy - RED</t>
  </si>
  <si>
    <t>BNMVIO</t>
  </si>
  <si>
    <t>Binimoy - VIOLET</t>
  </si>
  <si>
    <t>BNMWH</t>
  </si>
  <si>
    <t>Binimoy - WHITE</t>
  </si>
  <si>
    <t>BNMYL</t>
  </si>
  <si>
    <t>Binimoy - YELLOW</t>
  </si>
  <si>
    <t>BRWBNM</t>
  </si>
  <si>
    <t>Brown - BNM</t>
  </si>
  <si>
    <t>BRWDS</t>
  </si>
  <si>
    <t>Daiso - BROWN</t>
  </si>
  <si>
    <t>BRWGG</t>
  </si>
  <si>
    <t>Gum Gum - Brown</t>
  </si>
  <si>
    <t>BRWLIO</t>
  </si>
  <si>
    <t>Brown - Lion</t>
  </si>
  <si>
    <t>BRWPD</t>
  </si>
  <si>
    <t>Panda - Brown</t>
  </si>
  <si>
    <t>BSBKCS</t>
  </si>
  <si>
    <t>Black - Bosung</t>
  </si>
  <si>
    <t>BSBKIN</t>
  </si>
  <si>
    <t>BSBKPP</t>
  </si>
  <si>
    <t>PAPER</t>
  </si>
  <si>
    <t>BSBLUCS</t>
  </si>
  <si>
    <t>Blue - Bosung</t>
  </si>
  <si>
    <t>BSBLUIN</t>
  </si>
  <si>
    <t>BSBLUPP</t>
  </si>
  <si>
    <t>BSGRE</t>
  </si>
  <si>
    <t>BS KOREA - GREEN</t>
  </si>
  <si>
    <t>BSGRECS</t>
  </si>
  <si>
    <t>Green - Bosung</t>
  </si>
  <si>
    <t>BSGREIN</t>
  </si>
  <si>
    <t>BSGREPP</t>
  </si>
  <si>
    <t>Paper</t>
  </si>
  <si>
    <t>BSK12CT</t>
  </si>
  <si>
    <t>BOSUNG KOREA - 12 Gross</t>
  </si>
  <si>
    <t>BSRD</t>
  </si>
  <si>
    <t>BS KOREA - RED</t>
  </si>
  <si>
    <t>BSRDCS</t>
  </si>
  <si>
    <t>Red - Bosung</t>
  </si>
  <si>
    <t>BSRDIN</t>
  </si>
  <si>
    <t>BSRDPP</t>
  </si>
  <si>
    <t>BSWH</t>
  </si>
  <si>
    <t>BS KOREA - WHITE</t>
  </si>
  <si>
    <t>BSWHCS</t>
  </si>
  <si>
    <t>White - Bosung</t>
  </si>
  <si>
    <t>BSWHIN</t>
  </si>
  <si>
    <t>BSWHPP</t>
  </si>
  <si>
    <t>BSYL</t>
  </si>
  <si>
    <t>BS KOREA - YELLOW</t>
  </si>
  <si>
    <t>BSYLCS</t>
  </si>
  <si>
    <t>Yellow - Bosung</t>
  </si>
  <si>
    <t>BSYLIN</t>
  </si>
  <si>
    <t>BSYLPP</t>
  </si>
  <si>
    <t>CTASABA</t>
  </si>
  <si>
    <t>CARTON - ASABA TRADING</t>
  </si>
  <si>
    <t>CTBC</t>
  </si>
  <si>
    <t>CARTON - BACO</t>
  </si>
  <si>
    <t>CTBNM</t>
  </si>
  <si>
    <t>CARTON - BINIMOY</t>
  </si>
  <si>
    <t>CTBS8</t>
  </si>
  <si>
    <t>CARTON - BSKR 8GR</t>
  </si>
  <si>
    <t>CTCASA</t>
  </si>
  <si>
    <t>CARTON - CASA NISHIN S.A</t>
  </si>
  <si>
    <t>CASA</t>
  </si>
  <si>
    <t>CTGG</t>
  </si>
  <si>
    <t>CARTON - GOLDEN GATE</t>
  </si>
  <si>
    <t>CTGM</t>
  </si>
  <si>
    <t>CARTON - GAMI MUN</t>
  </si>
  <si>
    <t>CTHBD</t>
  </si>
  <si>
    <t>CARTON - HAPPY BIRTHDAY</t>
  </si>
  <si>
    <t>CTPKO</t>
  </si>
  <si>
    <t>CARTON - PAK KO</t>
  </si>
  <si>
    <t>CTSAIP</t>
  </si>
  <si>
    <t>CARTON - SAIP</t>
  </si>
  <si>
    <t>DSAPR</t>
  </si>
  <si>
    <t>DSAPRPP</t>
  </si>
  <si>
    <t>DSBK</t>
  </si>
  <si>
    <t>DSBKPP</t>
  </si>
  <si>
    <t>DSBLU</t>
  </si>
  <si>
    <t>DSBLUPP</t>
  </si>
  <si>
    <t>DSBRW</t>
  </si>
  <si>
    <t>Daiso - Brown</t>
  </si>
  <si>
    <t>DSBRWPP</t>
  </si>
  <si>
    <t>DSGRE</t>
  </si>
  <si>
    <t>Daiso - Green</t>
  </si>
  <si>
    <t>DSGREPP</t>
  </si>
  <si>
    <t>DSLGR</t>
  </si>
  <si>
    <t>Daiso - Light Green</t>
  </si>
  <si>
    <t>DSLGRPP</t>
  </si>
  <si>
    <t>DSOR</t>
  </si>
  <si>
    <t>Daiso - Orange</t>
  </si>
  <si>
    <t>DSORPP</t>
  </si>
  <si>
    <t>DSPK</t>
  </si>
  <si>
    <t>Daiso - Pink</t>
  </si>
  <si>
    <t>DSPKPP</t>
  </si>
  <si>
    <t>DSRD</t>
  </si>
  <si>
    <t>Daiso - Red</t>
  </si>
  <si>
    <t>DSRDPP</t>
  </si>
  <si>
    <t>DSSBL</t>
  </si>
  <si>
    <t>Daiso - Sky Blue</t>
  </si>
  <si>
    <t>DSSBLPP</t>
  </si>
  <si>
    <t>DSVIO</t>
  </si>
  <si>
    <t>Daiso - Violet</t>
  </si>
  <si>
    <t>DSVIOPP</t>
  </si>
  <si>
    <t>DSYL</t>
  </si>
  <si>
    <t>Daiso - Yellow</t>
  </si>
  <si>
    <t>DSYLPP</t>
  </si>
  <si>
    <t>GGAPR</t>
  </si>
  <si>
    <t>GGAPRPP</t>
  </si>
  <si>
    <t>GGBK</t>
  </si>
  <si>
    <t>GGBKPP</t>
  </si>
  <si>
    <t>GGBLU</t>
  </si>
  <si>
    <t>GGBLUPP</t>
  </si>
  <si>
    <t>GGBRW</t>
  </si>
  <si>
    <t>GGBRWPP</t>
  </si>
  <si>
    <t>GGGRE</t>
  </si>
  <si>
    <t>Gum Gum - Green</t>
  </si>
  <si>
    <t>GGGREPP</t>
  </si>
  <si>
    <t>GGLGR</t>
  </si>
  <si>
    <t>Gum Gum - Light Green</t>
  </si>
  <si>
    <t>GGLGRPP</t>
  </si>
  <si>
    <t>GGOK</t>
  </si>
  <si>
    <t>Gum Gum - Pink</t>
  </si>
  <si>
    <t>GGOKPP</t>
  </si>
  <si>
    <t>GGOR</t>
  </si>
  <si>
    <t>Gum Gum - Orange</t>
  </si>
  <si>
    <t>GGORPP</t>
  </si>
  <si>
    <t>GGRD</t>
  </si>
  <si>
    <t>Gum Gum - Red</t>
  </si>
  <si>
    <t>GGRDPP</t>
  </si>
  <si>
    <t>GGSBL</t>
  </si>
  <si>
    <t>Gum Gum - Sky Blue</t>
  </si>
  <si>
    <t>GGSBLPP</t>
  </si>
  <si>
    <t>GGVIO</t>
  </si>
  <si>
    <t>Gum Gum - Violet</t>
  </si>
  <si>
    <t>GGVIOPP</t>
  </si>
  <si>
    <t>GGYL</t>
  </si>
  <si>
    <t>Gum Gum - Yellow</t>
  </si>
  <si>
    <t>GGYLPP</t>
  </si>
  <si>
    <t>GOLBNM</t>
  </si>
  <si>
    <t>Gold - BNM</t>
  </si>
  <si>
    <t>GREASA</t>
  </si>
  <si>
    <t>Green - Asaba</t>
  </si>
  <si>
    <t>GREBCO</t>
  </si>
  <si>
    <t>GREBNM</t>
  </si>
  <si>
    <t>Green - BNM</t>
  </si>
  <si>
    <t>GREBSK</t>
  </si>
  <si>
    <t>Green - BSK</t>
  </si>
  <si>
    <t>GREDS</t>
  </si>
  <si>
    <t>GREGG</t>
  </si>
  <si>
    <t>GREJKO</t>
  </si>
  <si>
    <t>JOYKO - GREEN</t>
  </si>
  <si>
    <t>GRELIO</t>
  </si>
  <si>
    <t>Green - Lion</t>
  </si>
  <si>
    <t>GREPD</t>
  </si>
  <si>
    <t>Panda - Green</t>
  </si>
  <si>
    <t>GRYBNM</t>
  </si>
  <si>
    <t>Gray - Silver - BNM</t>
  </si>
  <si>
    <t>IN01</t>
  </si>
  <si>
    <t>INNER (215x180x57)</t>
  </si>
  <si>
    <t>PACKING</t>
  </si>
  <si>
    <t>IN02</t>
  </si>
  <si>
    <t>INNER BOX 180x160x76</t>
  </si>
  <si>
    <t>JKBK</t>
  </si>
  <si>
    <t>JKBLU</t>
  </si>
  <si>
    <t>JKGRE</t>
  </si>
  <si>
    <t>JKOCS</t>
  </si>
  <si>
    <t>JOYKO - CASE</t>
  </si>
  <si>
    <t>JKOCT</t>
  </si>
  <si>
    <t>JOYKO CARTON</t>
  </si>
  <si>
    <t>JKOIN</t>
  </si>
  <si>
    <t>JOYKO - INNER</t>
  </si>
  <si>
    <t>JKOR</t>
  </si>
  <si>
    <t>JOYKO - ORANGE</t>
  </si>
  <si>
    <t>JKRD</t>
  </si>
  <si>
    <t>JOYKO - RED</t>
  </si>
  <si>
    <t>JKWH</t>
  </si>
  <si>
    <t>JOYKO - WHITE</t>
  </si>
  <si>
    <t>JKYL</t>
  </si>
  <si>
    <t>JOYKO - YELLOW</t>
  </si>
  <si>
    <t>LBLUBSK</t>
  </si>
  <si>
    <t>L.Blue - BSK</t>
  </si>
  <si>
    <t>LGRBNM</t>
  </si>
  <si>
    <t>Light Green - BNM</t>
  </si>
  <si>
    <t>LGRDS</t>
  </si>
  <si>
    <t>LGRGG</t>
  </si>
  <si>
    <t>LGRPD</t>
  </si>
  <si>
    <t>Panda - Light Green</t>
  </si>
  <si>
    <t>LIBK</t>
  </si>
  <si>
    <t>GRACIA - BLACK</t>
  </si>
  <si>
    <t>LIGRE</t>
  </si>
  <si>
    <t>GRACIA - GREEN</t>
  </si>
  <si>
    <t>LIONBK</t>
  </si>
  <si>
    <t>LION CASE - BLACK</t>
  </si>
  <si>
    <t>LIONCT</t>
  </si>
  <si>
    <t>GRACIA - LION CARTON</t>
  </si>
  <si>
    <t>LIONGRE</t>
  </si>
  <si>
    <t>LION CASE - GREEN</t>
  </si>
  <si>
    <t>LIONOR</t>
  </si>
  <si>
    <t>LION CASE - ORANGE</t>
  </si>
  <si>
    <t>LIONRD</t>
  </si>
  <si>
    <t>LION CASE - RED</t>
  </si>
  <si>
    <t>LIONWH</t>
  </si>
  <si>
    <t>LION CASE - WHITE</t>
  </si>
  <si>
    <t>LIONYL</t>
  </si>
  <si>
    <t>LION CASE - YELLOW</t>
  </si>
  <si>
    <t>LIOR</t>
  </si>
  <si>
    <t>GRACIA - ORANGE</t>
  </si>
  <si>
    <t>LIRD</t>
  </si>
  <si>
    <t>GRACIA - RED</t>
  </si>
  <si>
    <t>LIWH</t>
  </si>
  <si>
    <t>GRACIA - WHITE</t>
  </si>
  <si>
    <t>LIYL</t>
  </si>
  <si>
    <t>GRACIA - YELLOW</t>
  </si>
  <si>
    <t>OCBNM</t>
  </si>
  <si>
    <t>Yellow Ocher - BNM</t>
  </si>
  <si>
    <t>ORBNM</t>
  </si>
  <si>
    <t>Orange - BNM</t>
  </si>
  <si>
    <t>ORDS</t>
  </si>
  <si>
    <t>ORGG</t>
  </si>
  <si>
    <t>ORJKO</t>
  </si>
  <si>
    <t>ORLIO</t>
  </si>
  <si>
    <t>Orange - Lion</t>
  </si>
  <si>
    <t>ORPD</t>
  </si>
  <si>
    <t>Panda - Orange</t>
  </si>
  <si>
    <t>P001</t>
  </si>
  <si>
    <t>R-302</t>
  </si>
  <si>
    <t>P002</t>
  </si>
  <si>
    <t>Red</t>
  </si>
  <si>
    <t>P003</t>
  </si>
  <si>
    <t>Orange</t>
  </si>
  <si>
    <t>P004</t>
  </si>
  <si>
    <t>P005</t>
  </si>
  <si>
    <t>Light Green</t>
  </si>
  <si>
    <t>P006</t>
  </si>
  <si>
    <t>Green</t>
  </si>
  <si>
    <t>P007</t>
  </si>
  <si>
    <t>Sky Blue</t>
  </si>
  <si>
    <t>P008</t>
  </si>
  <si>
    <t>Blue - Dark</t>
  </si>
  <si>
    <t>P009</t>
  </si>
  <si>
    <t>Violet</t>
  </si>
  <si>
    <t>P010</t>
  </si>
  <si>
    <t>Light Blue</t>
  </si>
  <si>
    <t>P011</t>
  </si>
  <si>
    <t>Brown</t>
  </si>
  <si>
    <t>P012</t>
  </si>
  <si>
    <t>P013</t>
  </si>
  <si>
    <t>Pink</t>
  </si>
  <si>
    <t>P014</t>
  </si>
  <si>
    <t>Yellow Ocher</t>
  </si>
  <si>
    <t>P015</t>
  </si>
  <si>
    <t>Apricot</t>
  </si>
  <si>
    <t>P016</t>
  </si>
  <si>
    <t>Gray - Silver</t>
  </si>
  <si>
    <t>P017</t>
  </si>
  <si>
    <t>Gold</t>
  </si>
  <si>
    <t>PC001</t>
  </si>
  <si>
    <t>Semi</t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</si>
  <si>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</si>
  <si>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</si>
  <si>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</si>
  <si>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</si>
  <si>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</si>
  <si>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</si>
  <si>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</si>
  <si>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</si>
  <si>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</si>
  <si>
    <t>Blue - Light</t>
  </si>
  <si>
    <t>PC011</t>
  </si>
  <si>
    <t>PC012</t>
  </si>
  <si>
    <t>PC013</t>
  </si>
  <si>
    <t>PC014</t>
  </si>
  <si>
    <t>PC015</t>
  </si>
  <si>
    <t>PC016</t>
  </si>
  <si>
    <t>PC017</t>
  </si>
  <si>
    <t>PDAPR</t>
  </si>
  <si>
    <t>PDAPRPP</t>
  </si>
  <si>
    <t>PDBK</t>
  </si>
  <si>
    <t>PDBKPP</t>
  </si>
  <si>
    <t>PDBLU</t>
  </si>
  <si>
    <t>PDBLUPP</t>
  </si>
  <si>
    <t>PDBRW</t>
  </si>
  <si>
    <t>PDBRWPP</t>
  </si>
  <si>
    <t>PDGRE</t>
  </si>
  <si>
    <t>PDGREPP</t>
  </si>
  <si>
    <t>PDLGR</t>
  </si>
  <si>
    <t>PDLGRPP</t>
  </si>
  <si>
    <t>PDOR</t>
  </si>
  <si>
    <t>PDORPP</t>
  </si>
  <si>
    <t>PDPK</t>
  </si>
  <si>
    <t>Panda - Pink</t>
  </si>
  <si>
    <t>PDPKPP</t>
  </si>
  <si>
    <t>PDRD</t>
  </si>
  <si>
    <t>Panda - Red</t>
  </si>
  <si>
    <t>PDRDPP</t>
  </si>
  <si>
    <t>PDSBL</t>
  </si>
  <si>
    <t>Panda - Sky Blue</t>
  </si>
  <si>
    <t>PDSBLPP</t>
  </si>
  <si>
    <t>PDVIO</t>
  </si>
  <si>
    <t>Panda - Violet</t>
  </si>
  <si>
    <t>PDVIOPP</t>
  </si>
  <si>
    <t>PDYL</t>
  </si>
  <si>
    <t>Panda - Yellow</t>
  </si>
  <si>
    <t>PDYLPP</t>
  </si>
  <si>
    <t>PKBK</t>
  </si>
  <si>
    <t>PAKKO - BLACK</t>
  </si>
  <si>
    <t>PAKKO</t>
  </si>
  <si>
    <t>PKBLU</t>
  </si>
  <si>
    <t>PAKKO - BLUE</t>
  </si>
  <si>
    <t>PKBNM</t>
  </si>
  <si>
    <t>Pink - BNM</t>
  </si>
  <si>
    <t>PKCS01</t>
  </si>
  <si>
    <t>Pakko case - English</t>
  </si>
  <si>
    <t>PKCS02</t>
  </si>
  <si>
    <t>Pakko case - Korea</t>
  </si>
  <si>
    <t>PKDS</t>
  </si>
  <si>
    <t>PKGG</t>
  </si>
  <si>
    <t>PKGRE</t>
  </si>
  <si>
    <t>PAKKO - GREEN</t>
  </si>
  <si>
    <t>PKPD</t>
  </si>
  <si>
    <t>PKRD</t>
  </si>
  <si>
    <t>PAKKO - RED</t>
  </si>
  <si>
    <t>PKWH</t>
  </si>
  <si>
    <t>PAKKO - WHITE</t>
  </si>
  <si>
    <t>PKWHK</t>
  </si>
  <si>
    <t>PAKKO - WHITE(K)</t>
  </si>
  <si>
    <t>PKYL</t>
  </si>
  <si>
    <t>PAKKO - YELLOW</t>
  </si>
  <si>
    <t>Wrapping Paper 167x360</t>
  </si>
  <si>
    <t>MATERIAL</t>
  </si>
  <si>
    <t>R-30201</t>
  </si>
  <si>
    <t>RDASB</t>
  </si>
  <si>
    <t>Red - Asaba</t>
  </si>
  <si>
    <t>RDBCO</t>
  </si>
  <si>
    <t>RDBNM</t>
  </si>
  <si>
    <t>Red - BNM</t>
  </si>
  <si>
    <t>RDBSK</t>
  </si>
  <si>
    <t>Red - BSK</t>
  </si>
  <si>
    <t>RDDS</t>
  </si>
  <si>
    <t>RDGG</t>
  </si>
  <si>
    <t>RDJKO</t>
  </si>
  <si>
    <t>RDLIO</t>
  </si>
  <si>
    <t>Red - Lion</t>
  </si>
  <si>
    <t>RDPD</t>
  </si>
  <si>
    <t>SBLBNM</t>
  </si>
  <si>
    <t>Sky Blue - BNM</t>
  </si>
  <si>
    <t>SBLDS</t>
  </si>
  <si>
    <t>SBLGG</t>
  </si>
  <si>
    <t>SBLPD</t>
  </si>
  <si>
    <t>VIOASB</t>
  </si>
  <si>
    <t>Violet - Asaba</t>
  </si>
  <si>
    <t>VIOBNM</t>
  </si>
  <si>
    <t>Violet - BNM</t>
  </si>
  <si>
    <t>VIODS</t>
  </si>
  <si>
    <t>VIOGG</t>
  </si>
  <si>
    <t>VIOLIO</t>
  </si>
  <si>
    <t>Violet - Lion</t>
  </si>
  <si>
    <t>VIOPD</t>
  </si>
  <si>
    <t>WHAMO</t>
  </si>
  <si>
    <t>White - AMos</t>
  </si>
  <si>
    <t>WHASB</t>
  </si>
  <si>
    <t>White - Asaba</t>
  </si>
  <si>
    <t>WHBCO</t>
  </si>
  <si>
    <t>WHBNM</t>
  </si>
  <si>
    <t>White - BNM</t>
  </si>
  <si>
    <t>WHBSK</t>
  </si>
  <si>
    <t>White - BSK</t>
  </si>
  <si>
    <t>WHJKO</t>
  </si>
  <si>
    <t>WHLIO</t>
  </si>
  <si>
    <t>White - Lion</t>
  </si>
  <si>
    <t>YLAMO</t>
  </si>
  <si>
    <t>YLASB</t>
  </si>
  <si>
    <t>Yellow - Asaba</t>
  </si>
  <si>
    <t>YLBCO</t>
  </si>
  <si>
    <t>YLBNM</t>
  </si>
  <si>
    <t>Yellow - BNM</t>
  </si>
  <si>
    <t>YLBSK</t>
  </si>
  <si>
    <t>Yellow - BSK</t>
  </si>
  <si>
    <t>YLDS</t>
  </si>
  <si>
    <t>YLGG</t>
  </si>
  <si>
    <t>YLJKO</t>
  </si>
  <si>
    <t>YLLIO</t>
  </si>
  <si>
    <t>Yellow - Lion</t>
  </si>
  <si>
    <t>YLPD</t>
  </si>
  <si>
    <t>CỘT NÀY NHẢY TỰ ĐỘNG</t>
  </si>
  <si>
    <t>Từ 8:00 -&gt; 17:00 : 460 phút
Từ 8:00 - 20:00 : 610 phút</t>
  </si>
  <si>
    <t>2 cột này nhảy tự động</t>
  </si>
  <si>
    <t>chọn mã hàng tùy loại theo đơn hàng</t>
  </si>
  <si>
    <r>
      <t>⑦ Số</t>
    </r>
    <r>
      <rPr>
        <sz val="13"/>
        <color theme="1"/>
        <rFont val="Calibri"/>
        <family val="2"/>
      </rPr>
      <t xml:space="preserve"> l</t>
    </r>
    <r>
      <rPr>
        <sz val="13"/>
        <color theme="1"/>
        <rFont val="Calibr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</rPr>
      <t>ng PO(ea)</t>
    </r>
  </si>
  <si>
    <t>Danh sách đơn hàng</t>
  </si>
  <si>
    <t>STT</t>
  </si>
  <si>
    <t>Số đơn hàng</t>
  </si>
  <si>
    <t>Loại hàng</t>
  </si>
  <si>
    <t>Tên màu</t>
  </si>
  <si>
    <t>Gross</t>
  </si>
  <si>
    <t>Set</t>
  </si>
  <si>
    <t>Pcs</t>
  </si>
  <si>
    <t>Ghi chú</t>
  </si>
  <si>
    <t>Mã màu</t>
  </si>
  <si>
    <t>Ngày</t>
  </si>
  <si>
    <t>BSBLU</t>
  </si>
  <si>
    <t>BS KOREA - BLUE</t>
  </si>
  <si>
    <t>BSBK</t>
  </si>
  <si>
    <t>BS KOREA - BLACK</t>
  </si>
  <si>
    <t>BNMBRW</t>
  </si>
  <si>
    <t>BINIMOY - BROWN</t>
  </si>
  <si>
    <t>BNMGRE</t>
  </si>
  <si>
    <t>BINIMOY - GREEN</t>
  </si>
  <si>
    <t>BNMLGR</t>
  </si>
  <si>
    <t>BINIMOY - LIGHT GREEN</t>
  </si>
  <si>
    <t>BNMSBL</t>
  </si>
  <si>
    <t>BINIMOY - SKY BLUE</t>
  </si>
  <si>
    <t>⑩-2 OK qty(CT)</t>
  </si>
  <si>
    <r>
      <t>⑩-2  S</t>
    </r>
    <r>
      <rPr>
        <sz val="13"/>
        <color theme="1"/>
        <rFont val="Calibri"/>
        <family val="2"/>
        <charset val="163"/>
      </rPr>
      <t>ố</t>
    </r>
    <r>
      <rPr>
        <sz val="13"/>
        <color theme="1"/>
        <rFont val="Calibri"/>
        <family val="2"/>
        <charset val="129"/>
        <scheme val="minor"/>
      </rPr>
      <t xml:space="preserve"> l</t>
    </r>
    <r>
      <rPr>
        <sz val="13"/>
        <color theme="1"/>
        <rFont val="Segoe UI"/>
        <family val="2"/>
        <charset val="238"/>
      </rPr>
      <t>ư</t>
    </r>
    <r>
      <rPr>
        <sz val="13"/>
        <color theme="1"/>
        <rFont val="Calibri"/>
        <family val="2"/>
        <charset val="163"/>
      </rPr>
      <t>ợ</t>
    </r>
    <r>
      <rPr>
        <sz val="13"/>
        <color theme="1"/>
        <rFont val="Calibri"/>
        <family val="2"/>
        <charset val="129"/>
        <scheme val="minor"/>
      </rPr>
      <t>ng s</t>
    </r>
    <r>
      <rPr>
        <sz val="13"/>
        <color theme="1"/>
        <rFont val="Calibri"/>
        <family val="2"/>
        <charset val="163"/>
      </rPr>
      <t>ả</t>
    </r>
    <r>
      <rPr>
        <sz val="13"/>
        <color theme="1"/>
        <rFont val="Calibri"/>
        <family val="2"/>
        <charset val="129"/>
        <scheme val="minor"/>
      </rPr>
      <t>n ph</t>
    </r>
    <r>
      <rPr>
        <sz val="13"/>
        <color theme="1"/>
        <rFont val="Calibri"/>
        <family val="2"/>
        <charset val="163"/>
      </rPr>
      <t>ẩ</t>
    </r>
    <r>
      <rPr>
        <sz val="13"/>
        <color theme="1"/>
        <rFont val="Calibri"/>
        <family val="2"/>
        <charset val="129"/>
        <scheme val="minor"/>
      </rPr>
      <t>m OK(CT)</t>
    </r>
  </si>
  <si>
    <t>Đgói</t>
  </si>
  <si>
    <t>thời gian bắt đầu</t>
  </si>
  <si>
    <t>thời gian kết thúc</t>
  </si>
  <si>
    <t>Thời gian nghỉ quy định</t>
  </si>
  <si>
    <t>Thời gian quy đổi</t>
  </si>
  <si>
    <t>REMARK</t>
  </si>
  <si>
    <t>AMOSRD</t>
  </si>
  <si>
    <t>AMOS - RED</t>
  </si>
  <si>
    <t>AMOSGRE</t>
  </si>
  <si>
    <t>AMOS - GREEN</t>
  </si>
  <si>
    <t>RDAMO</t>
  </si>
  <si>
    <t>RED - AMOS</t>
  </si>
  <si>
    <t>GREAMO</t>
  </si>
  <si>
    <t>GREEN - AMOS</t>
  </si>
  <si>
    <t xml:space="preserve">	[Bán thành phẩm]</t>
  </si>
  <si>
    <t>BSBULK</t>
  </si>
  <si>
    <t>D</t>
  </si>
  <si>
    <t>vệ sinh máy</t>
  </si>
  <si>
    <t>vệ sinh đổi màu</t>
  </si>
  <si>
    <t>2026-6</t>
  </si>
  <si>
    <t>Vệ sinh máy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</si>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</sst>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_ "/>
  </numFmts>
  <fonts count="2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Calibri"/>
      <family val="2"/>
      <charset val="129"/>
      <scheme val="minor"/>
    </font>
    <font>
      <sz val="13"/>
      <color theme="1"/>
      <name val="Calibri"/>
      <family val="3"/>
      <charset val="129"/>
      <scheme val="minor"/>
    </font>
    <font>
      <sz val="13"/>
      <color theme="1"/>
      <name val="맑은 고딕"/>
      <family val="3"/>
      <charset val="129"/>
    </font>
    <font>
      <sz val="13"/>
      <color theme="1"/>
      <name val="Calibri"/>
      <family val="2"/>
      <charset val="129"/>
      <scheme val="minor"/>
    </font>
    <font>
      <sz val="13"/>
      <color theme="1"/>
      <name val="Calibri"/>
      <family val="2"/>
      <charset val="163"/>
    </font>
    <font>
      <sz val="13"/>
      <color theme="1"/>
      <name val="Segoe UI"/>
      <family val="2"/>
      <charset val="238"/>
    </font>
    <font>
      <sz val="17"/>
      <color theme="1"/>
      <name val="Calibri"/>
      <family val="3"/>
      <charset val="129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charset val="238"/>
    </font>
    <font>
      <b/>
      <sz val="12"/>
      <color indexed="81"/>
      <name val="Tahoma"/>
      <family val="2"/>
    </font>
    <font>
      <sz val="11"/>
      <color indexed="8"/>
      <name val="Calibri"/>
      <family val="2"/>
    </font>
    <font>
      <b/>
      <sz val="20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20"/>
      <color indexed="8"/>
      <name val="MS Gothic"/>
      <family val="1"/>
    </font>
    <font>
      <sz val="14"/>
      <color indexed="8"/>
      <name val="돋움"/>
      <family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sz val="14"/>
      <color theme="1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theme="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theme="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theme="0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theme="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theme="0"/>
      </diagonal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theme="0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7" fillId="0" borderId="2" xfId="0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0" fillId="2" borderId="7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64" fontId="10" fillId="2" borderId="7" xfId="1" applyFont="1" applyFill="1" applyBorder="1">
      <alignment vertical="center"/>
    </xf>
    <xf numFmtId="0" fontId="10" fillId="2" borderId="8" xfId="0" applyFont="1" applyFill="1" applyBorder="1" applyAlignment="1">
      <alignment horizontal="center" vertical="center"/>
    </xf>
    <xf numFmtId="164" fontId="10" fillId="2" borderId="1" xfId="1" applyFont="1" applyFill="1" applyBorder="1">
      <alignment vertical="center"/>
    </xf>
    <xf numFmtId="0" fontId="10" fillId="2" borderId="4" xfId="0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vertical="center" wrapText="1"/>
    </xf>
    <xf numFmtId="0" fontId="10" fillId="2" borderId="17" xfId="0" applyFont="1" applyFill="1" applyBorder="1" applyAlignment="1">
      <alignment horizontal="center" vertical="center"/>
    </xf>
    <xf numFmtId="164" fontId="10" fillId="2" borderId="5" xfId="1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164" fontId="10" fillId="2" borderId="0" xfId="1" applyFont="1" applyFill="1" applyBorder="1">
      <alignment vertical="center"/>
    </xf>
    <xf numFmtId="0" fontId="0" fillId="2" borderId="0" xfId="0" applyFill="1">
      <alignment vertical="center"/>
    </xf>
    <xf numFmtId="0" fontId="0" fillId="0" borderId="21" xfId="0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4" xfId="0" applyFont="1" applyFill="1" applyBorder="1">
      <alignment vertical="center"/>
    </xf>
    <xf numFmtId="164" fontId="10" fillId="3" borderId="14" xfId="1" applyFont="1" applyFill="1" applyBorder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>
      <alignment vertical="center"/>
    </xf>
    <xf numFmtId="164" fontId="10" fillId="3" borderId="1" xfId="1" applyFont="1" applyFill="1" applyBorder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>
      <alignment vertical="center"/>
    </xf>
    <xf numFmtId="164" fontId="10" fillId="3" borderId="5" xfId="1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4" xfId="0" applyFont="1" applyFill="1" applyBorder="1">
      <alignment vertical="center"/>
    </xf>
    <xf numFmtId="164" fontId="10" fillId="4" borderId="14" xfId="1" applyFont="1" applyFill="1" applyBorder="1">
      <alignment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164" fontId="10" fillId="4" borderId="1" xfId="1" applyFont="1" applyFill="1" applyBorder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1" xfId="0" applyFont="1" applyFill="1" applyBorder="1">
      <alignment vertical="center"/>
    </xf>
    <xf numFmtId="164" fontId="10" fillId="4" borderId="21" xfId="1" applyFont="1" applyFill="1" applyBorder="1">
      <alignment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>
      <alignment vertical="center"/>
    </xf>
    <xf numFmtId="164" fontId="10" fillId="4" borderId="5" xfId="1" applyFont="1" applyFill="1" applyBorder="1">
      <alignment vertical="center"/>
    </xf>
    <xf numFmtId="0" fontId="10" fillId="4" borderId="6" xfId="0" applyFont="1" applyFill="1" applyBorder="1" applyAlignment="1">
      <alignment horizontal="center" vertical="center"/>
    </xf>
    <xf numFmtId="164" fontId="10" fillId="5" borderId="22" xfId="1" applyFont="1" applyFill="1" applyBorder="1">
      <alignment vertical="center"/>
    </xf>
    <xf numFmtId="164" fontId="10" fillId="5" borderId="23" xfId="1" applyFont="1" applyFill="1" applyBorder="1">
      <alignment vertical="center"/>
    </xf>
    <xf numFmtId="164" fontId="10" fillId="5" borderId="24" xfId="1" applyFont="1" applyFill="1" applyBorder="1">
      <alignment vertical="center"/>
    </xf>
    <xf numFmtId="164" fontId="10" fillId="5" borderId="25" xfId="1" applyFont="1" applyFill="1" applyBorder="1">
      <alignment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2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0" fillId="2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22" fillId="6" borderId="13" xfId="0" applyFont="1" applyFill="1" applyBorder="1" applyAlignment="1">
      <alignment horizontal="left" vertical="center" wrapText="1"/>
    </xf>
    <xf numFmtId="0" fontId="22" fillId="6" borderId="14" xfId="0" applyFont="1" applyFill="1" applyBorder="1" applyAlignment="1">
      <alignment horizontal="left" vertical="center" wrapText="1"/>
    </xf>
    <xf numFmtId="0" fontId="23" fillId="6" borderId="14" xfId="0" applyFont="1" applyFill="1" applyBorder="1" applyAlignment="1">
      <alignment horizontal="left" vertical="center" wrapText="1"/>
    </xf>
    <xf numFmtId="0" fontId="22" fillId="6" borderId="15" xfId="0" applyFont="1" applyFill="1" applyBorder="1" applyAlignment="1">
      <alignment horizontal="left" vertical="center" wrapText="1"/>
    </xf>
    <xf numFmtId="0" fontId="22" fillId="6" borderId="40" xfId="0" applyFont="1" applyFill="1" applyBorder="1" applyAlignment="1">
      <alignment horizontal="left" vertical="center" wrapText="1"/>
    </xf>
    <xf numFmtId="0" fontId="22" fillId="6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7" fillId="0" borderId="40" xfId="0" applyFont="1" applyBorder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/>
    <xf numFmtId="0" fontId="21" fillId="2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left" vertical="center"/>
    </xf>
    <xf numFmtId="0" fontId="21" fillId="3" borderId="38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>
      <alignment vertical="center"/>
    </xf>
    <xf numFmtId="164" fontId="10" fillId="7" borderId="1" xfId="1" applyFont="1" applyFill="1" applyBorder="1">
      <alignment vertical="center"/>
    </xf>
    <xf numFmtId="0" fontId="10" fillId="7" borderId="4" xfId="0" applyFont="1" applyFill="1" applyBorder="1" applyAlignment="1">
      <alignment horizontal="center" vertical="center"/>
    </xf>
    <xf numFmtId="0" fontId="0" fillId="0" borderId="42" xfId="0" applyBorder="1">
      <alignment vertical="center"/>
    </xf>
    <xf numFmtId="0" fontId="21" fillId="3" borderId="42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164" fontId="10" fillId="7" borderId="23" xfId="1" applyFont="1" applyFill="1" applyBorder="1">
      <alignment vertical="center"/>
    </xf>
    <xf numFmtId="164" fontId="10" fillId="7" borderId="1" xfId="1" applyFont="1" applyFill="1" applyBorder="1" applyAlignment="1">
      <alignment vertical="center" wrapText="1"/>
    </xf>
    <xf numFmtId="0" fontId="10" fillId="7" borderId="8" xfId="0" applyFont="1" applyFill="1" applyBorder="1" applyAlignment="1">
      <alignment horizontal="center" vertical="center"/>
    </xf>
    <xf numFmtId="0" fontId="25" fillId="4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20" fontId="0" fillId="0" borderId="1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45" xfId="0" applyBorder="1">
      <alignment vertical="center"/>
    </xf>
    <xf numFmtId="0" fontId="22" fillId="6" borderId="46" xfId="0" applyFont="1" applyFill="1" applyBorder="1" applyAlignment="1">
      <alignment horizontal="left" vertical="center" wrapText="1"/>
    </xf>
    <xf numFmtId="0" fontId="10" fillId="2" borderId="47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7" borderId="47" xfId="0" applyFont="1" applyFill="1" applyBorder="1">
      <alignment vertical="center"/>
    </xf>
    <xf numFmtId="0" fontId="10" fillId="7" borderId="43" xfId="0" applyFont="1" applyFill="1" applyBorder="1">
      <alignment vertical="center"/>
    </xf>
    <xf numFmtId="0" fontId="10" fillId="2" borderId="48" xfId="0" applyFont="1" applyFill="1" applyBorder="1">
      <alignment vertical="center"/>
    </xf>
    <xf numFmtId="0" fontId="7" fillId="0" borderId="49" xfId="0" applyFont="1" applyBorder="1" applyAlignment="1">
      <alignment horizontal="left" vertical="center" wrapText="1"/>
    </xf>
    <xf numFmtId="0" fontId="10" fillId="4" borderId="46" xfId="0" applyFont="1" applyFill="1" applyBorder="1">
      <alignment vertical="center"/>
    </xf>
    <xf numFmtId="0" fontId="10" fillId="4" borderId="43" xfId="0" applyFont="1" applyFill="1" applyBorder="1">
      <alignment vertical="center"/>
    </xf>
    <xf numFmtId="0" fontId="10" fillId="4" borderId="48" xfId="0" applyFont="1" applyFill="1" applyBorder="1">
      <alignment vertical="center"/>
    </xf>
    <xf numFmtId="0" fontId="10" fillId="3" borderId="46" xfId="0" applyFont="1" applyFill="1" applyBorder="1">
      <alignment vertical="center"/>
    </xf>
    <xf numFmtId="0" fontId="10" fillId="3" borderId="43" xfId="0" applyFont="1" applyFill="1" applyBorder="1">
      <alignment vertical="center"/>
    </xf>
    <xf numFmtId="0" fontId="10" fillId="3" borderId="48" xfId="0" applyFont="1" applyFill="1" applyBorder="1">
      <alignment vertical="center"/>
    </xf>
    <xf numFmtId="0" fontId="22" fillId="6" borderId="14" xfId="0" quotePrefix="1" applyFont="1" applyFill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4" fontId="18" fillId="0" borderId="31" xfId="0" applyNumberFormat="1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53E8-D8F1-4A5F-8247-2193A776BFDD}">
  <dimension ref="B1:AB45"/>
  <sheetViews>
    <sheetView tabSelected="1" view="pageBreakPreview" topLeftCell="B26" zoomScale="69" zoomScaleNormal="115" zoomScaleSheetLayoutView="69" workbookViewId="0">
      <selection activeCell="Q39" sqref="Q39"/>
    </sheetView>
  </sheetViews>
  <sheetFormatPr defaultRowHeight="15"/>
  <cols>
    <col min="1" max="1" width="16.7109375" customWidth="1"/>
    <col min="2" max="2" width="9" customWidth="1"/>
    <col min="3" max="3" width="10.42578125" customWidth="1"/>
    <col min="4" max="4" width="20" customWidth="1"/>
    <col min="5" max="8" width="22.5703125" customWidth="1"/>
    <col min="9" max="9" width="14.7109375" customWidth="1"/>
    <col min="10" max="10" width="21.7109375" customWidth="1"/>
    <col min="11" max="11" width="21.42578125" customWidth="1"/>
    <col min="12" max="12" width="21.7109375" customWidth="1"/>
    <col min="13" max="14" width="22" customWidth="1"/>
    <col min="15" max="16" width="19.42578125" customWidth="1"/>
    <col min="17" max="17" width="12.85546875" customWidth="1"/>
    <col min="18" max="19" width="16.42578125" customWidth="1"/>
    <col min="20" max="20" width="14.42578125" customWidth="1"/>
    <col min="21" max="21" width="13.28515625" hidden="1" customWidth="1"/>
    <col min="23" max="23" width="13.28515625" hidden="1" customWidth="1"/>
  </cols>
  <sheetData>
    <row r="1" spans="2:28" ht="25.5">
      <c r="B1" s="143" t="s">
        <v>43</v>
      </c>
      <c r="C1" s="144"/>
      <c r="D1" s="144"/>
      <c r="E1" s="144"/>
      <c r="F1" s="144"/>
      <c r="G1" s="144"/>
      <c r="H1" s="144"/>
      <c r="I1" s="78"/>
      <c r="J1" s="80"/>
      <c r="K1" s="80"/>
      <c r="L1" s="80"/>
      <c r="M1" s="80"/>
      <c r="N1" s="80"/>
      <c r="O1" s="80"/>
      <c r="P1" s="80"/>
    </row>
    <row r="2" spans="2:28" ht="25.5">
      <c r="B2" s="145" t="s">
        <v>44</v>
      </c>
      <c r="C2" s="146"/>
      <c r="D2" s="146"/>
      <c r="E2" s="146"/>
      <c r="F2" s="146"/>
      <c r="G2" s="146"/>
      <c r="H2" s="146"/>
      <c r="I2" s="79"/>
      <c r="J2" s="81"/>
      <c r="K2" s="81"/>
      <c r="L2" s="81"/>
      <c r="M2" s="81"/>
      <c r="N2" s="81"/>
      <c r="O2" s="81"/>
      <c r="P2" s="81"/>
    </row>
    <row r="3" spans="2:28" ht="38.25" thickBot="1">
      <c r="B3" s="149" t="s">
        <v>45</v>
      </c>
      <c r="C3" s="149"/>
      <c r="D3" s="149"/>
      <c r="E3" s="149" t="s">
        <v>47</v>
      </c>
      <c r="F3" s="149"/>
      <c r="G3" s="149"/>
      <c r="H3" s="82" t="s">
        <v>46</v>
      </c>
      <c r="I3" s="150">
        <v>46244</v>
      </c>
      <c r="J3" s="151"/>
      <c r="K3" s="83"/>
      <c r="L3" s="83"/>
      <c r="M3" s="77"/>
      <c r="N3" s="77"/>
      <c r="O3" s="77"/>
      <c r="P3" s="77"/>
    </row>
    <row r="4" spans="2:28" ht="43.5" customHeight="1">
      <c r="B4" s="12" t="s">
        <v>14</v>
      </c>
      <c r="C4" s="8" t="s">
        <v>7</v>
      </c>
      <c r="D4" s="8" t="s">
        <v>9</v>
      </c>
      <c r="E4" s="8" t="s">
        <v>6</v>
      </c>
      <c r="F4" s="8" t="s">
        <v>4</v>
      </c>
      <c r="G4" s="8" t="s">
        <v>21</v>
      </c>
      <c r="H4" s="8" t="s">
        <v>23</v>
      </c>
      <c r="I4" s="8" t="s">
        <v>26</v>
      </c>
      <c r="J4" s="8" t="s">
        <v>27</v>
      </c>
      <c r="K4" s="8" t="s">
        <v>29</v>
      </c>
      <c r="L4" s="8" t="s">
        <v>31</v>
      </c>
      <c r="M4" s="8" t="s">
        <v>33</v>
      </c>
      <c r="N4" s="8" t="s">
        <v>644</v>
      </c>
      <c r="O4" s="8" t="s">
        <v>24</v>
      </c>
      <c r="P4" s="8" t="s">
        <v>35</v>
      </c>
      <c r="Q4" s="9" t="s">
        <v>37</v>
      </c>
      <c r="R4" s="35" t="s">
        <v>39</v>
      </c>
      <c r="S4" s="147" t="s">
        <v>651</v>
      </c>
      <c r="T4" s="36" t="s">
        <v>41</v>
      </c>
      <c r="U4" s="4" t="s">
        <v>0</v>
      </c>
      <c r="W4" s="4" t="s">
        <v>2</v>
      </c>
      <c r="Y4" s="123" t="s">
        <v>647</v>
      </c>
      <c r="Z4" s="123" t="s">
        <v>648</v>
      </c>
      <c r="AA4" s="124" t="s">
        <v>649</v>
      </c>
      <c r="AB4" s="125" t="s">
        <v>650</v>
      </c>
    </row>
    <row r="5" spans="2:28" ht="66.75" customHeight="1" thickBot="1">
      <c r="B5" s="86" t="s">
        <v>15</v>
      </c>
      <c r="C5" s="87" t="s">
        <v>16</v>
      </c>
      <c r="D5" s="87" t="s">
        <v>17</v>
      </c>
      <c r="E5" s="87" t="s">
        <v>18</v>
      </c>
      <c r="F5" s="87" t="s">
        <v>5</v>
      </c>
      <c r="G5" s="87" t="s">
        <v>22</v>
      </c>
      <c r="H5" s="88" t="s">
        <v>620</v>
      </c>
      <c r="I5" s="87" t="s">
        <v>26</v>
      </c>
      <c r="J5" s="87" t="s">
        <v>28</v>
      </c>
      <c r="K5" s="87" t="s">
        <v>30</v>
      </c>
      <c r="L5" s="87" t="s">
        <v>32</v>
      </c>
      <c r="M5" s="87" t="s">
        <v>34</v>
      </c>
      <c r="N5" s="87" t="s">
        <v>645</v>
      </c>
      <c r="O5" s="87" t="s">
        <v>25</v>
      </c>
      <c r="P5" s="87" t="s">
        <v>36</v>
      </c>
      <c r="Q5" s="87" t="s">
        <v>38</v>
      </c>
      <c r="R5" s="87" t="s">
        <v>40</v>
      </c>
      <c r="S5" s="148"/>
      <c r="T5" s="89" t="s">
        <v>42</v>
      </c>
      <c r="U5" s="5" t="s">
        <v>1</v>
      </c>
      <c r="W5" s="5" t="s">
        <v>3</v>
      </c>
      <c r="Y5" s="126">
        <v>0.58333333333333337</v>
      </c>
      <c r="Z5" s="126">
        <v>0.83333333333333337</v>
      </c>
      <c r="AA5" s="127">
        <v>40</v>
      </c>
      <c r="AB5" s="128">
        <f>MOD(Z5-Y5,1)*24*60-AA5</f>
        <v>320</v>
      </c>
    </row>
    <row r="6" spans="2:28" s="101" customFormat="1" ht="60">
      <c r="B6" s="96"/>
      <c r="C6" s="97"/>
      <c r="D6" s="97"/>
      <c r="E6" s="97" t="s">
        <v>616</v>
      </c>
      <c r="F6" s="142" t="s">
        <v>667</v>
      </c>
      <c r="G6" s="97"/>
      <c r="H6" s="98"/>
      <c r="I6" s="97"/>
      <c r="J6" s="97"/>
      <c r="K6" s="97"/>
      <c r="L6" s="97"/>
      <c r="M6" s="97"/>
      <c r="N6" s="97"/>
      <c r="O6" s="97"/>
      <c r="P6" s="97" t="s">
        <v>617</v>
      </c>
      <c r="Q6" s="97"/>
      <c r="R6" s="97"/>
      <c r="S6" s="129"/>
      <c r="T6" s="99"/>
      <c r="U6" s="100"/>
      <c r="W6" s="100"/>
      <c r="Y6"/>
      <c r="Z6"/>
      <c r="AA6"/>
      <c r="AB6"/>
    </row>
    <row r="7" spans="2:28" ht="36" customHeight="1">
      <c r="B7" s="84" t="s">
        <v>8</v>
      </c>
      <c r="C7" s="21">
        <v>1</v>
      </c>
      <c r="D7" s="85"/>
      <c r="E7" s="21" t="str">
        <f>_xlfn.XLOOKUP(F7,Sheet3!$B:$B,Sheet3!$C:$C)</f>
        <v>Light Green</v>
      </c>
      <c r="F7" s="15" t="s">
        <v>493</v>
      </c>
      <c r="G7" s="15" t="s">
        <v>665</v>
      </c>
      <c r="H7" s="15">
        <v>120960</v>
      </c>
      <c r="I7" s="71"/>
      <c r="J7" s="22">
        <v>4100</v>
      </c>
      <c r="K7" s="71"/>
      <c r="L7" s="22">
        <v>3800</v>
      </c>
      <c r="M7" s="71"/>
      <c r="N7" s="71"/>
      <c r="O7" s="22">
        <v>260</v>
      </c>
      <c r="P7" s="15">
        <v>460</v>
      </c>
      <c r="Q7" s="15">
        <v>0.5</v>
      </c>
      <c r="R7" s="15">
        <v>15</v>
      </c>
      <c r="S7" s="130" t="s">
        <v>663</v>
      </c>
      <c r="T7" s="23" t="s">
        <v>662</v>
      </c>
      <c r="U7" s="3" t="e">
        <f>J7*#REF!</f>
        <v>#REF!</v>
      </c>
      <c r="W7" s="3" t="e">
        <f>L7*#REF!</f>
        <v>#REF!</v>
      </c>
    </row>
    <row r="8" spans="2:28" ht="36" customHeight="1">
      <c r="B8" s="20" t="s">
        <v>8</v>
      </c>
      <c r="C8" s="18">
        <v>2</v>
      </c>
      <c r="D8" s="75"/>
      <c r="E8" s="21" t="str">
        <f>_xlfn.XLOOKUP(F8,Sheet3!$B:$B,Sheet3!$C:$C)</f>
        <v>Light Green</v>
      </c>
      <c r="F8" s="15" t="s">
        <v>493</v>
      </c>
      <c r="G8" s="15" t="s">
        <v>665</v>
      </c>
      <c r="H8" s="16">
        <v>120960</v>
      </c>
      <c r="I8" s="72"/>
      <c r="J8" s="24">
        <v>4150</v>
      </c>
      <c r="K8" s="72"/>
      <c r="L8" s="24">
        <v>3850</v>
      </c>
      <c r="M8" s="72"/>
      <c r="N8" s="72"/>
      <c r="O8" s="24">
        <v>290</v>
      </c>
      <c r="P8" s="15">
        <v>460</v>
      </c>
      <c r="Q8" s="16">
        <v>0.5</v>
      </c>
      <c r="R8" s="15">
        <v>15</v>
      </c>
      <c r="S8" s="130" t="s">
        <v>663</v>
      </c>
      <c r="T8" s="23" t="s">
        <v>662</v>
      </c>
      <c r="U8" s="3" t="e">
        <f>J8*#REF!</f>
        <v>#REF!</v>
      </c>
      <c r="W8" s="3" t="e">
        <f>L8*#REF!</f>
        <v>#REF!</v>
      </c>
    </row>
    <row r="9" spans="2:28" ht="36" customHeight="1">
      <c r="B9" s="20" t="s">
        <v>8</v>
      </c>
      <c r="C9" s="18">
        <v>3</v>
      </c>
      <c r="D9" s="75"/>
      <c r="E9" s="21" t="str">
        <f>_xlfn.XLOOKUP(F9,Sheet3!$B:$B,Sheet3!$C:$C)</f>
        <v>Orange</v>
      </c>
      <c r="F9" s="16" t="s">
        <v>491</v>
      </c>
      <c r="G9" s="15" t="s">
        <v>665</v>
      </c>
      <c r="H9" s="16">
        <v>103680</v>
      </c>
      <c r="I9" s="72"/>
      <c r="J9" s="24">
        <v>4160</v>
      </c>
      <c r="K9" s="72"/>
      <c r="L9" s="24">
        <v>3900</v>
      </c>
      <c r="M9" s="72"/>
      <c r="N9" s="72"/>
      <c r="O9" s="24">
        <v>260</v>
      </c>
      <c r="P9" s="15">
        <v>460</v>
      </c>
      <c r="Q9" s="16">
        <v>0.5</v>
      </c>
      <c r="R9" s="15">
        <v>15</v>
      </c>
      <c r="S9" s="130" t="s">
        <v>663</v>
      </c>
      <c r="T9" s="23" t="s">
        <v>662</v>
      </c>
      <c r="U9" s="3" t="e">
        <f>J9*#REF!</f>
        <v>#REF!</v>
      </c>
      <c r="W9" s="3" t="e">
        <f>L9*#REF!</f>
        <v>#REF!</v>
      </c>
      <c r="Y9" s="15" t="s">
        <v>488</v>
      </c>
      <c r="Z9" s="15" t="s">
        <v>11</v>
      </c>
    </row>
    <row r="10" spans="2:28" ht="36" customHeight="1">
      <c r="B10" s="20" t="s">
        <v>8</v>
      </c>
      <c r="C10" s="18">
        <v>4</v>
      </c>
      <c r="D10" s="75"/>
      <c r="E10" s="21" t="str">
        <f>_xlfn.XLOOKUP(F10,Sheet3!$B:$B,Sheet3!$C:$C)</f>
        <v>Orange</v>
      </c>
      <c r="F10" s="16" t="s">
        <v>491</v>
      </c>
      <c r="G10" s="15" t="s">
        <v>665</v>
      </c>
      <c r="H10" s="16">
        <v>103680</v>
      </c>
      <c r="I10" s="72"/>
      <c r="J10" s="24">
        <v>4160</v>
      </c>
      <c r="K10" s="72"/>
      <c r="L10" s="24">
        <v>3900</v>
      </c>
      <c r="M10" s="72"/>
      <c r="N10" s="72"/>
      <c r="O10" s="24">
        <v>260</v>
      </c>
      <c r="P10" s="15">
        <v>460</v>
      </c>
      <c r="Q10" s="16">
        <v>0.5</v>
      </c>
      <c r="R10" s="15">
        <v>15</v>
      </c>
      <c r="S10" s="130" t="s">
        <v>663</v>
      </c>
      <c r="T10" s="23" t="s">
        <v>662</v>
      </c>
      <c r="U10" s="3" t="e">
        <f>J10*#REF!</f>
        <v>#REF!</v>
      </c>
      <c r="W10" s="3" t="e">
        <f>L10*#REF!</f>
        <v>#REF!</v>
      </c>
      <c r="Y10" s="15" t="s">
        <v>490</v>
      </c>
      <c r="Z10" s="15" t="s">
        <v>459</v>
      </c>
    </row>
    <row r="11" spans="2:28" ht="36" customHeight="1">
      <c r="B11" s="20" t="s">
        <v>8</v>
      </c>
      <c r="C11" s="18">
        <v>5</v>
      </c>
      <c r="D11" s="75"/>
      <c r="E11" s="21" t="str">
        <f>_xlfn.XLOOKUP(F11,Sheet3!$B:$B,Sheet3!$C:$C)</f>
        <v>Yellow</v>
      </c>
      <c r="F11" s="16" t="s">
        <v>492</v>
      </c>
      <c r="G11" s="15" t="s">
        <v>665</v>
      </c>
      <c r="H11" s="16">
        <v>138240</v>
      </c>
      <c r="I11" s="72"/>
      <c r="J11" s="24">
        <v>4250</v>
      </c>
      <c r="K11" s="72"/>
      <c r="L11" s="24">
        <v>4100</v>
      </c>
      <c r="M11" s="72"/>
      <c r="N11" s="72"/>
      <c r="O11" s="24">
        <v>160</v>
      </c>
      <c r="P11" s="15">
        <v>460</v>
      </c>
      <c r="Q11" s="16">
        <v>0.5</v>
      </c>
      <c r="R11" s="15">
        <v>15</v>
      </c>
      <c r="S11" s="130" t="s">
        <v>663</v>
      </c>
      <c r="T11" s="23" t="s">
        <v>662</v>
      </c>
      <c r="U11" s="3" t="e">
        <f>J11*#REF!</f>
        <v>#REF!</v>
      </c>
      <c r="W11" s="3" t="e">
        <f>L11*#REF!</f>
        <v>#REF!</v>
      </c>
      <c r="Y11" s="15" t="s">
        <v>491</v>
      </c>
      <c r="Z11" s="15" t="s">
        <v>461</v>
      </c>
    </row>
    <row r="12" spans="2:28" ht="36" customHeight="1">
      <c r="B12" s="20" t="s">
        <v>8</v>
      </c>
      <c r="C12" s="18">
        <v>6</v>
      </c>
      <c r="D12" s="75"/>
      <c r="E12" s="21" t="str">
        <f>_xlfn.XLOOKUP(F12,Sheet3!$B:$B,Sheet3!$C:$C)</f>
        <v>Yellow</v>
      </c>
      <c r="F12" s="16" t="s">
        <v>492</v>
      </c>
      <c r="G12" s="15" t="s">
        <v>665</v>
      </c>
      <c r="H12" s="16">
        <v>138240</v>
      </c>
      <c r="I12" s="72"/>
      <c r="J12" s="24">
        <v>4350</v>
      </c>
      <c r="K12" s="72"/>
      <c r="L12" s="24">
        <v>4200</v>
      </c>
      <c r="M12" s="72"/>
      <c r="N12" s="72"/>
      <c r="O12" s="24">
        <v>160</v>
      </c>
      <c r="P12" s="15">
        <v>460</v>
      </c>
      <c r="Q12" s="16">
        <v>0.5</v>
      </c>
      <c r="R12" s="15">
        <v>15</v>
      </c>
      <c r="S12" s="130" t="s">
        <v>663</v>
      </c>
      <c r="T12" s="23" t="s">
        <v>662</v>
      </c>
      <c r="U12" s="3" t="e">
        <f>J12*#REF!</f>
        <v>#REF!</v>
      </c>
      <c r="W12" s="3" t="e">
        <f>L12*#REF!</f>
        <v>#REF!</v>
      </c>
      <c r="Y12" s="15" t="s">
        <v>492</v>
      </c>
      <c r="Z12" s="15" t="s">
        <v>10</v>
      </c>
    </row>
    <row r="13" spans="2:28" ht="36" customHeight="1">
      <c r="B13" s="20" t="s">
        <v>8</v>
      </c>
      <c r="C13" s="18">
        <v>7</v>
      </c>
      <c r="D13" s="75"/>
      <c r="E13" s="21" t="str">
        <f>_xlfn.XLOOKUP(F13,Sheet3!$B:$B,Sheet3!$C:$C)</f>
        <v>Brown</v>
      </c>
      <c r="F13" s="16" t="s">
        <v>500</v>
      </c>
      <c r="G13" s="15" t="s">
        <v>665</v>
      </c>
      <c r="H13" s="16">
        <v>120960</v>
      </c>
      <c r="I13" s="72"/>
      <c r="J13" s="24">
        <v>4300</v>
      </c>
      <c r="K13" s="72"/>
      <c r="L13" s="24">
        <v>4000</v>
      </c>
      <c r="M13" s="72"/>
      <c r="N13" s="72"/>
      <c r="O13" s="24">
        <v>295</v>
      </c>
      <c r="P13" s="15">
        <v>460</v>
      </c>
      <c r="Q13" s="16">
        <v>0.5</v>
      </c>
      <c r="R13" s="15">
        <v>15</v>
      </c>
      <c r="S13" s="130" t="s">
        <v>663</v>
      </c>
      <c r="T13" s="23" t="s">
        <v>662</v>
      </c>
      <c r="U13" s="3" t="e">
        <f>J13*#REF!</f>
        <v>#REF!</v>
      </c>
      <c r="W13" s="3" t="e">
        <f>L13*#REF!</f>
        <v>#REF!</v>
      </c>
      <c r="Y13" s="15" t="s">
        <v>493</v>
      </c>
      <c r="Z13" s="15" t="s">
        <v>464</v>
      </c>
    </row>
    <row r="14" spans="2:28" ht="36" customHeight="1">
      <c r="B14" s="20" t="s">
        <v>8</v>
      </c>
      <c r="C14" s="18">
        <v>8</v>
      </c>
      <c r="D14" s="75"/>
      <c r="E14" s="21" t="str">
        <f>_xlfn.XLOOKUP(F14,Sheet3!$B:$B,Sheet3!$C:$C)</f>
        <v>Brown</v>
      </c>
      <c r="F14" s="16" t="s">
        <v>500</v>
      </c>
      <c r="G14" s="15" t="s">
        <v>665</v>
      </c>
      <c r="H14" s="16">
        <v>120960</v>
      </c>
      <c r="I14" s="72"/>
      <c r="J14" s="24">
        <v>4300</v>
      </c>
      <c r="K14" s="72"/>
      <c r="L14" s="24">
        <v>4000</v>
      </c>
      <c r="M14" s="72"/>
      <c r="N14" s="72"/>
      <c r="O14" s="24">
        <v>300</v>
      </c>
      <c r="P14" s="15">
        <v>460</v>
      </c>
      <c r="Q14" s="16">
        <v>0.5</v>
      </c>
      <c r="R14" s="15">
        <v>15</v>
      </c>
      <c r="S14" s="130" t="s">
        <v>663</v>
      </c>
      <c r="T14" s="23" t="s">
        <v>662</v>
      </c>
      <c r="U14" s="3" t="e">
        <f>J14*#REF!</f>
        <v>#REF!</v>
      </c>
      <c r="W14" s="3" t="e">
        <f>L14*#REF!</f>
        <v>#REF!</v>
      </c>
      <c r="Y14" s="15" t="s">
        <v>494</v>
      </c>
      <c r="Z14" s="15" t="s">
        <v>466</v>
      </c>
    </row>
    <row r="15" spans="2:28" ht="36" customHeight="1">
      <c r="B15" s="20" t="s">
        <v>8</v>
      </c>
      <c r="C15" s="18">
        <v>9</v>
      </c>
      <c r="D15" s="75"/>
      <c r="E15" s="21" t="str">
        <f>_xlfn.XLOOKUP(F15,Sheet3!$B:$B,Sheet3!$C:$C)</f>
        <v>Brown</v>
      </c>
      <c r="F15" s="16" t="s">
        <v>500</v>
      </c>
      <c r="G15" s="15" t="s">
        <v>665</v>
      </c>
      <c r="H15" s="16">
        <v>120960</v>
      </c>
      <c r="I15" s="72"/>
      <c r="J15" s="24">
        <v>4000</v>
      </c>
      <c r="K15" s="72"/>
      <c r="L15" s="24">
        <v>3650</v>
      </c>
      <c r="M15" s="72"/>
      <c r="N15" s="72"/>
      <c r="O15" s="24">
        <v>310</v>
      </c>
      <c r="P15" s="15">
        <v>460</v>
      </c>
      <c r="Q15" s="16">
        <v>0.5</v>
      </c>
      <c r="R15" s="15">
        <v>15</v>
      </c>
      <c r="S15" s="130" t="s">
        <v>663</v>
      </c>
      <c r="T15" s="23" t="s">
        <v>662</v>
      </c>
      <c r="U15" s="3" t="e">
        <f>J15*#REF!</f>
        <v>#REF!</v>
      </c>
      <c r="W15" s="3" t="e">
        <f>L15*#REF!</f>
        <v>#REF!</v>
      </c>
      <c r="Y15" s="15" t="s">
        <v>495</v>
      </c>
      <c r="Z15" s="15" t="s">
        <v>468</v>
      </c>
    </row>
    <row r="16" spans="2:28" ht="36" customHeight="1">
      <c r="B16" s="20" t="s">
        <v>8</v>
      </c>
      <c r="C16" s="18">
        <v>10</v>
      </c>
      <c r="D16" s="75"/>
      <c r="E16" s="21" t="str">
        <f>_xlfn.XLOOKUP(F16,Sheet3!$B:$B,Sheet3!$C:$C)</f>
        <v>Brown</v>
      </c>
      <c r="F16" s="16" t="s">
        <v>500</v>
      </c>
      <c r="G16" s="15" t="s">
        <v>665</v>
      </c>
      <c r="H16" s="16">
        <v>120960</v>
      </c>
      <c r="I16" s="72"/>
      <c r="J16" s="24">
        <v>4000</v>
      </c>
      <c r="K16" s="72"/>
      <c r="L16" s="24">
        <v>3600</v>
      </c>
      <c r="M16" s="72"/>
      <c r="N16" s="72"/>
      <c r="O16" s="24">
        <v>305</v>
      </c>
      <c r="P16" s="15">
        <v>460</v>
      </c>
      <c r="Q16" s="16">
        <v>0.5</v>
      </c>
      <c r="R16" s="15">
        <v>15</v>
      </c>
      <c r="S16" s="130" t="s">
        <v>663</v>
      </c>
      <c r="T16" s="23" t="s">
        <v>662</v>
      </c>
      <c r="U16" s="3" t="e">
        <f>J16*#REF!</f>
        <v>#REF!</v>
      </c>
      <c r="W16" s="3" t="e">
        <f>L16*#REF!</f>
        <v>#REF!</v>
      </c>
      <c r="Y16" s="15" t="s">
        <v>496</v>
      </c>
      <c r="Z16" s="15" t="s">
        <v>470</v>
      </c>
    </row>
    <row r="17" spans="2:26" ht="36" customHeight="1">
      <c r="B17" s="20" t="s">
        <v>8</v>
      </c>
      <c r="C17" s="18">
        <v>11</v>
      </c>
      <c r="D17" s="75"/>
      <c r="E17" s="21" t="str">
        <f>_xlfn.XLOOKUP(F17,Sheet3!$B:$B,Sheet3!$C:$C)</f>
        <v>Orange</v>
      </c>
      <c r="F17" s="16" t="s">
        <v>491</v>
      </c>
      <c r="G17" s="15" t="s">
        <v>665</v>
      </c>
      <c r="H17" s="16">
        <v>103680</v>
      </c>
      <c r="I17" s="72"/>
      <c r="J17" s="24">
        <v>4200</v>
      </c>
      <c r="K17" s="72"/>
      <c r="L17" s="24">
        <v>4000</v>
      </c>
      <c r="M17" s="72"/>
      <c r="N17" s="72"/>
      <c r="O17" s="24">
        <v>210</v>
      </c>
      <c r="P17" s="15">
        <v>460</v>
      </c>
      <c r="Q17" s="16">
        <v>0.5</v>
      </c>
      <c r="R17" s="15">
        <v>15</v>
      </c>
      <c r="S17" s="130" t="s">
        <v>664</v>
      </c>
      <c r="T17" s="23" t="s">
        <v>662</v>
      </c>
      <c r="U17" s="3" t="e">
        <f>J17*#REF!</f>
        <v>#REF!</v>
      </c>
      <c r="W17" s="3" t="e">
        <f>L17*#REF!</f>
        <v>#REF!</v>
      </c>
      <c r="Y17" s="15" t="s">
        <v>497</v>
      </c>
      <c r="Z17" s="15" t="s">
        <v>472</v>
      </c>
    </row>
    <row r="18" spans="2:26" ht="36" customHeight="1">
      <c r="B18" s="20" t="s">
        <v>8</v>
      </c>
      <c r="C18" s="18">
        <v>12</v>
      </c>
      <c r="D18" s="75"/>
      <c r="E18" s="21" t="str">
        <f>_xlfn.XLOOKUP(F18,Sheet3!$B:$B,Sheet3!$C:$C)</f>
        <v>Light Green</v>
      </c>
      <c r="F18" s="15" t="s">
        <v>493</v>
      </c>
      <c r="G18" s="15" t="s">
        <v>665</v>
      </c>
      <c r="H18" s="16">
        <v>120960</v>
      </c>
      <c r="I18" s="72"/>
      <c r="J18" s="24">
        <v>4300</v>
      </c>
      <c r="K18" s="72"/>
      <c r="L18" s="24">
        <v>4000</v>
      </c>
      <c r="M18" s="72"/>
      <c r="N18" s="72"/>
      <c r="O18" s="24">
        <v>310</v>
      </c>
      <c r="P18" s="15">
        <v>460</v>
      </c>
      <c r="Q18" s="16">
        <v>0.5</v>
      </c>
      <c r="R18" s="15">
        <v>15</v>
      </c>
      <c r="S18" s="130" t="s">
        <v>664</v>
      </c>
      <c r="T18" s="23" t="s">
        <v>662</v>
      </c>
      <c r="U18" s="3" t="e">
        <f>J18*#REF!</f>
        <v>#REF!</v>
      </c>
      <c r="W18" s="3" t="e">
        <f>L18*#REF!</f>
        <v>#REF!</v>
      </c>
      <c r="Y18" s="15" t="s">
        <v>498</v>
      </c>
      <c r="Z18" s="15" t="s">
        <v>499</v>
      </c>
    </row>
    <row r="19" spans="2:26" ht="36" customHeight="1">
      <c r="B19" s="20"/>
      <c r="C19" s="18"/>
      <c r="D19" s="75"/>
      <c r="E19" s="21"/>
      <c r="F19" s="15"/>
      <c r="G19" s="15"/>
      <c r="H19" s="16"/>
      <c r="I19" s="72"/>
      <c r="J19" s="24"/>
      <c r="K19" s="72"/>
      <c r="L19" s="24"/>
      <c r="M19" s="72"/>
      <c r="N19" s="72"/>
      <c r="O19" s="24"/>
      <c r="P19" s="15"/>
      <c r="Q19" s="16"/>
      <c r="R19" s="16"/>
      <c r="S19" s="131"/>
      <c r="T19" s="23"/>
      <c r="U19" s="3"/>
      <c r="W19" s="3"/>
      <c r="Y19" s="15" t="s">
        <v>500</v>
      </c>
      <c r="Z19" s="15" t="s">
        <v>476</v>
      </c>
    </row>
    <row r="20" spans="2:26" ht="36" customHeight="1">
      <c r="B20" s="20"/>
      <c r="C20" s="18"/>
      <c r="D20" s="75"/>
      <c r="E20" s="21"/>
      <c r="F20" s="15"/>
      <c r="G20" s="15"/>
      <c r="H20" s="16"/>
      <c r="I20" s="72"/>
      <c r="J20" s="24"/>
      <c r="K20" s="72"/>
      <c r="L20" s="24"/>
      <c r="M20" s="72"/>
      <c r="N20" s="72"/>
      <c r="O20" s="24"/>
      <c r="P20" s="15"/>
      <c r="Q20" s="16"/>
      <c r="R20" s="16"/>
      <c r="S20" s="131"/>
      <c r="T20" s="23"/>
      <c r="U20" s="3"/>
      <c r="W20" s="3"/>
      <c r="Y20" s="15" t="s">
        <v>501</v>
      </c>
      <c r="Z20" s="15" t="s">
        <v>12</v>
      </c>
    </row>
    <row r="21" spans="2:26" ht="36" customHeight="1">
      <c r="B21" s="20"/>
      <c r="C21" s="18"/>
      <c r="D21" s="75"/>
      <c r="E21" s="21"/>
      <c r="F21" s="16"/>
      <c r="G21" s="16"/>
      <c r="H21" s="16"/>
      <c r="I21" s="72"/>
      <c r="J21" s="24"/>
      <c r="K21" s="72"/>
      <c r="L21" s="26"/>
      <c r="M21" s="72"/>
      <c r="N21" s="72"/>
      <c r="O21" s="24"/>
      <c r="P21" s="16"/>
      <c r="Q21" s="16"/>
      <c r="R21" s="16"/>
      <c r="S21" s="131"/>
      <c r="T21" s="25"/>
      <c r="U21" s="3"/>
      <c r="W21" s="3"/>
      <c r="Y21" s="15" t="s">
        <v>502</v>
      </c>
      <c r="Z21" s="15" t="s">
        <v>479</v>
      </c>
    </row>
    <row r="22" spans="2:26" ht="36" customHeight="1">
      <c r="B22" s="20"/>
      <c r="C22" s="18"/>
      <c r="D22" s="75"/>
      <c r="E22" s="21"/>
      <c r="F22" s="16"/>
      <c r="G22" s="16"/>
      <c r="H22" s="16"/>
      <c r="I22" s="72"/>
      <c r="J22" s="24"/>
      <c r="K22" s="72"/>
      <c r="L22" s="24"/>
      <c r="M22" s="72"/>
      <c r="N22" s="72"/>
      <c r="O22" s="24"/>
      <c r="P22" s="16"/>
      <c r="Q22" s="16"/>
      <c r="R22" s="16"/>
      <c r="S22" s="131"/>
      <c r="T22" s="25"/>
      <c r="U22" s="3"/>
      <c r="W22" s="3"/>
      <c r="Y22" s="15" t="s">
        <v>503</v>
      </c>
      <c r="Z22" s="15" t="s">
        <v>481</v>
      </c>
    </row>
    <row r="23" spans="2:26" ht="36" customHeight="1">
      <c r="B23" s="20"/>
      <c r="C23" s="18"/>
      <c r="D23" s="75"/>
      <c r="E23" s="21"/>
      <c r="F23" s="16"/>
      <c r="G23" s="16"/>
      <c r="H23" s="16"/>
      <c r="I23" s="72"/>
      <c r="J23" s="24"/>
      <c r="K23" s="72"/>
      <c r="L23" s="24"/>
      <c r="M23" s="72"/>
      <c r="N23" s="72"/>
      <c r="O23" s="24"/>
      <c r="P23" s="16"/>
      <c r="Q23" s="16"/>
      <c r="R23" s="16"/>
      <c r="S23" s="131"/>
      <c r="T23" s="25"/>
      <c r="U23" s="3"/>
      <c r="W23" s="3"/>
      <c r="Y23" s="15" t="s">
        <v>504</v>
      </c>
      <c r="Z23" s="15" t="s">
        <v>483</v>
      </c>
    </row>
    <row r="24" spans="2:26" ht="36" customHeight="1">
      <c r="B24" s="20"/>
      <c r="C24" s="18"/>
      <c r="D24" s="75"/>
      <c r="E24" s="21"/>
      <c r="F24" s="16"/>
      <c r="G24" s="16"/>
      <c r="H24" s="16"/>
      <c r="I24" s="72"/>
      <c r="J24" s="24"/>
      <c r="K24" s="72"/>
      <c r="L24" s="24"/>
      <c r="M24" s="72"/>
      <c r="N24" s="72"/>
      <c r="O24" s="24"/>
      <c r="P24" s="16"/>
      <c r="Q24" s="16"/>
      <c r="R24" s="16"/>
      <c r="S24" s="131"/>
      <c r="T24" s="25"/>
      <c r="U24" s="3"/>
      <c r="W24" s="3"/>
      <c r="Y24" s="15" t="s">
        <v>505</v>
      </c>
      <c r="Z24" s="15" t="s">
        <v>485</v>
      </c>
    </row>
    <row r="25" spans="2:26" ht="36" customHeight="1">
      <c r="B25" s="20"/>
      <c r="C25" s="18"/>
      <c r="D25" s="75"/>
      <c r="E25" s="21"/>
      <c r="F25" s="16"/>
      <c r="G25" s="16"/>
      <c r="H25" s="16"/>
      <c r="I25" s="72"/>
      <c r="J25" s="24"/>
      <c r="K25" s="72"/>
      <c r="L25" s="24"/>
      <c r="M25" s="72"/>
      <c r="N25" s="72"/>
      <c r="O25" s="24"/>
      <c r="P25" s="16"/>
      <c r="Q25" s="16"/>
      <c r="R25" s="16"/>
      <c r="S25" s="131"/>
      <c r="T25" s="25"/>
      <c r="U25" s="3"/>
      <c r="W25" s="3"/>
      <c r="Y25" s="15" t="s">
        <v>506</v>
      </c>
      <c r="Z25" s="15" t="s">
        <v>487</v>
      </c>
    </row>
    <row r="26" spans="2:26" ht="36" customHeight="1">
      <c r="B26" s="117"/>
      <c r="C26" s="110"/>
      <c r="D26" s="118"/>
      <c r="E26" s="21"/>
      <c r="F26" s="111"/>
      <c r="G26" s="111"/>
      <c r="H26" s="111"/>
      <c r="I26" s="119"/>
      <c r="J26" s="112"/>
      <c r="K26" s="119"/>
      <c r="L26" s="120"/>
      <c r="M26" s="119"/>
      <c r="N26" s="119"/>
      <c r="O26" s="112"/>
      <c r="P26" s="111"/>
      <c r="Q26" s="111"/>
      <c r="R26" s="111"/>
      <c r="S26" s="132"/>
      <c r="T26" s="121"/>
      <c r="U26" s="3"/>
      <c r="W26" s="3"/>
      <c r="Y26" s="15"/>
      <c r="Z26" s="15"/>
    </row>
    <row r="27" spans="2:26" ht="36" customHeight="1">
      <c r="B27" s="117"/>
      <c r="C27" s="110"/>
      <c r="D27" s="118"/>
      <c r="E27" s="21"/>
      <c r="F27" s="111"/>
      <c r="G27" s="111"/>
      <c r="H27" s="111"/>
      <c r="I27" s="119"/>
      <c r="J27" s="112"/>
      <c r="K27" s="119"/>
      <c r="L27" s="112"/>
      <c r="M27" s="119"/>
      <c r="N27" s="119"/>
      <c r="O27" s="112"/>
      <c r="P27" s="111"/>
      <c r="Q27" s="111"/>
      <c r="R27" s="111"/>
      <c r="S27" s="133"/>
      <c r="T27" s="113"/>
      <c r="U27" s="3"/>
      <c r="W27" s="3"/>
    </row>
    <row r="28" spans="2:26" ht="36" customHeight="1">
      <c r="B28" s="20"/>
      <c r="C28" s="18"/>
      <c r="D28" s="75"/>
      <c r="E28" s="21"/>
      <c r="F28" s="16"/>
      <c r="G28" s="16"/>
      <c r="H28" s="16"/>
      <c r="I28" s="72"/>
      <c r="J28" s="24"/>
      <c r="K28" s="72"/>
      <c r="L28" s="24"/>
      <c r="M28" s="72"/>
      <c r="N28" s="72"/>
      <c r="O28" s="24"/>
      <c r="P28" s="16"/>
      <c r="Q28" s="16"/>
      <c r="R28" s="16"/>
      <c r="S28" s="131"/>
      <c r="T28" s="25"/>
      <c r="U28" s="3"/>
      <c r="W28" s="3"/>
    </row>
    <row r="29" spans="2:26" ht="36" customHeight="1">
      <c r="B29" s="20"/>
      <c r="C29" s="18"/>
      <c r="D29" s="75"/>
      <c r="E29" s="21"/>
      <c r="F29" s="16"/>
      <c r="G29" s="16"/>
      <c r="H29" s="16"/>
      <c r="I29" s="72"/>
      <c r="J29" s="24"/>
      <c r="K29" s="72"/>
      <c r="L29" s="24"/>
      <c r="M29" s="72"/>
      <c r="N29" s="72"/>
      <c r="O29" s="24"/>
      <c r="P29" s="16"/>
      <c r="Q29" s="16"/>
      <c r="R29" s="16"/>
      <c r="S29" s="131"/>
      <c r="T29" s="25"/>
      <c r="U29" s="3"/>
      <c r="W29" s="3"/>
    </row>
    <row r="30" spans="2:26" ht="36" customHeight="1" thickBot="1">
      <c r="B30" s="27"/>
      <c r="C30" s="19"/>
      <c r="D30" s="76"/>
      <c r="E30" s="19"/>
      <c r="F30" s="17"/>
      <c r="G30" s="17"/>
      <c r="H30" s="17"/>
      <c r="I30" s="73"/>
      <c r="J30" s="28"/>
      <c r="K30" s="73"/>
      <c r="L30" s="28"/>
      <c r="M30" s="73"/>
      <c r="N30" s="73"/>
      <c r="O30" s="28"/>
      <c r="P30" s="17"/>
      <c r="Q30" s="17"/>
      <c r="R30" s="17"/>
      <c r="S30" s="134"/>
      <c r="T30" s="29"/>
      <c r="U30" s="3" t="e">
        <f>J30*#REF!</f>
        <v>#REF!</v>
      </c>
      <c r="W30" s="7" t="e">
        <f>L30*#REF!</f>
        <v>#REF!</v>
      </c>
    </row>
    <row r="31" spans="2:26" ht="15" customHeight="1" thickBot="1">
      <c r="B31" s="30"/>
      <c r="C31" s="30"/>
      <c r="D31" s="30"/>
      <c r="E31" s="30"/>
      <c r="F31" s="31"/>
      <c r="G31" s="31"/>
      <c r="H31" s="31"/>
      <c r="I31" s="32"/>
      <c r="J31" s="32"/>
      <c r="K31" s="32"/>
      <c r="L31" s="32"/>
      <c r="M31" s="32"/>
      <c r="N31" s="32"/>
      <c r="O31" s="32"/>
      <c r="P31" s="31"/>
      <c r="Q31" s="31"/>
      <c r="R31" s="31"/>
      <c r="S31" s="31"/>
      <c r="T31" s="30"/>
      <c r="U31" s="7"/>
      <c r="W31" s="7"/>
    </row>
    <row r="32" spans="2:26" ht="43.5" customHeight="1">
      <c r="B32" s="12" t="s">
        <v>14</v>
      </c>
      <c r="C32" s="8" t="s">
        <v>7</v>
      </c>
      <c r="D32" s="8" t="s">
        <v>9</v>
      </c>
      <c r="E32" s="8" t="s">
        <v>6</v>
      </c>
      <c r="F32" s="8" t="s">
        <v>4</v>
      </c>
      <c r="G32" s="8" t="s">
        <v>21</v>
      </c>
      <c r="H32" s="8" t="s">
        <v>23</v>
      </c>
      <c r="I32" s="8" t="s">
        <v>26</v>
      </c>
      <c r="J32" s="8" t="s">
        <v>27</v>
      </c>
      <c r="K32" s="8" t="s">
        <v>29</v>
      </c>
      <c r="L32" s="8" t="s">
        <v>31</v>
      </c>
      <c r="M32" s="8" t="s">
        <v>33</v>
      </c>
      <c r="N32" s="8" t="s">
        <v>33</v>
      </c>
      <c r="O32" s="8" t="s">
        <v>24</v>
      </c>
      <c r="P32" s="8" t="s">
        <v>35</v>
      </c>
      <c r="Q32" s="9" t="s">
        <v>37</v>
      </c>
      <c r="R32" s="35" t="s">
        <v>39</v>
      </c>
      <c r="S32" s="147" t="s">
        <v>651</v>
      </c>
      <c r="T32" s="36" t="s">
        <v>41</v>
      </c>
      <c r="U32" s="4" t="s">
        <v>0</v>
      </c>
      <c r="W32" s="4" t="s">
        <v>2</v>
      </c>
    </row>
    <row r="33" spans="2:23" ht="66.75" customHeight="1" thickBot="1">
      <c r="B33" s="13" t="s">
        <v>15</v>
      </c>
      <c r="C33" s="10" t="s">
        <v>16</v>
      </c>
      <c r="D33" s="10" t="s">
        <v>17</v>
      </c>
      <c r="E33" s="10" t="s">
        <v>18</v>
      </c>
      <c r="F33" s="10" t="s">
        <v>5</v>
      </c>
      <c r="G33" s="10" t="s">
        <v>22</v>
      </c>
      <c r="H33" s="14" t="s">
        <v>620</v>
      </c>
      <c r="I33" s="10" t="s">
        <v>26</v>
      </c>
      <c r="J33" s="10" t="s">
        <v>28</v>
      </c>
      <c r="K33" s="10" t="s">
        <v>30</v>
      </c>
      <c r="L33" s="10" t="s">
        <v>32</v>
      </c>
      <c r="M33" s="10" t="s">
        <v>34</v>
      </c>
      <c r="N33" s="10" t="s">
        <v>34</v>
      </c>
      <c r="O33" s="10" t="s">
        <v>25</v>
      </c>
      <c r="P33" s="10" t="s">
        <v>36</v>
      </c>
      <c r="Q33" s="10" t="s">
        <v>38</v>
      </c>
      <c r="R33" s="10" t="s">
        <v>40</v>
      </c>
      <c r="S33" s="148"/>
      <c r="T33" s="11" t="s">
        <v>42</v>
      </c>
      <c r="U33" s="5" t="s">
        <v>1</v>
      </c>
      <c r="W33" s="5" t="s">
        <v>3</v>
      </c>
    </row>
    <row r="34" spans="2:23" ht="36" thickTop="1" thickBot="1">
      <c r="B34" s="91"/>
      <c r="C34" s="92"/>
      <c r="D34" s="103" t="s">
        <v>618</v>
      </c>
      <c r="E34" s="103"/>
      <c r="F34" s="92" t="s">
        <v>619</v>
      </c>
      <c r="G34" s="92"/>
      <c r="H34" s="93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135"/>
      <c r="T34" s="94"/>
      <c r="U34" s="95"/>
      <c r="W34" s="102"/>
    </row>
    <row r="35" spans="2:23" ht="36" customHeight="1">
      <c r="B35" s="52" t="s">
        <v>13</v>
      </c>
      <c r="C35" s="53"/>
      <c r="D35" s="54"/>
      <c r="E35" s="54"/>
      <c r="F35" s="54"/>
      <c r="G35" s="54"/>
      <c r="H35" s="54"/>
      <c r="I35" s="55"/>
      <c r="J35" s="55"/>
      <c r="K35" s="55"/>
      <c r="L35" s="55"/>
      <c r="M35" s="55"/>
      <c r="N35" s="55"/>
      <c r="O35" s="55"/>
      <c r="P35" s="54"/>
      <c r="Q35" s="54"/>
      <c r="R35" s="54"/>
      <c r="S35" s="136"/>
      <c r="T35" s="56"/>
      <c r="U35" s="1"/>
      <c r="W35" s="6"/>
    </row>
    <row r="36" spans="2:23" ht="36" customHeight="1">
      <c r="B36" s="57" t="s">
        <v>13</v>
      </c>
      <c r="C36" s="58"/>
      <c r="D36" s="59"/>
      <c r="E36" s="59"/>
      <c r="F36" s="59"/>
      <c r="G36" s="59"/>
      <c r="H36" s="59"/>
      <c r="I36" s="60"/>
      <c r="J36" s="60"/>
      <c r="K36" s="60"/>
      <c r="L36" s="60"/>
      <c r="M36" s="60"/>
      <c r="N36" s="60"/>
      <c r="O36" s="60"/>
      <c r="P36" s="59"/>
      <c r="Q36" s="59"/>
      <c r="R36" s="59"/>
      <c r="S36" s="137"/>
      <c r="T36" s="61"/>
      <c r="U36" s="1"/>
      <c r="W36" s="6"/>
    </row>
    <row r="37" spans="2:23" ht="36" customHeight="1">
      <c r="B37" s="57" t="s">
        <v>13</v>
      </c>
      <c r="C37" s="58"/>
      <c r="D37" s="59"/>
      <c r="E37" s="59"/>
      <c r="F37" s="59"/>
      <c r="G37" s="59"/>
      <c r="H37" s="59"/>
      <c r="I37" s="60"/>
      <c r="J37" s="60"/>
      <c r="K37" s="60"/>
      <c r="L37" s="60"/>
      <c r="M37" s="60"/>
      <c r="N37" s="60"/>
      <c r="O37" s="60"/>
      <c r="P37" s="59"/>
      <c r="Q37" s="59"/>
      <c r="R37" s="59"/>
      <c r="S37" s="137"/>
      <c r="T37" s="61"/>
      <c r="U37" s="1"/>
      <c r="W37" s="1"/>
    </row>
    <row r="38" spans="2:23" ht="36" customHeight="1">
      <c r="B38" s="62"/>
      <c r="C38" s="63"/>
      <c r="D38" s="58"/>
      <c r="E38" s="59"/>
      <c r="F38" s="122"/>
      <c r="G38" s="108"/>
      <c r="H38" s="59"/>
      <c r="I38" s="59"/>
      <c r="J38" s="60"/>
      <c r="K38" s="60"/>
      <c r="L38" s="60"/>
      <c r="M38" s="60"/>
      <c r="N38" s="60"/>
      <c r="O38" s="60"/>
      <c r="P38" s="60"/>
      <c r="Q38" s="59"/>
      <c r="R38" s="59"/>
      <c r="S38" s="59"/>
      <c r="T38" s="59"/>
      <c r="U38" s="61"/>
      <c r="V38" s="1"/>
      <c r="W38" s="34"/>
    </row>
    <row r="39" spans="2:23" ht="36" customHeight="1">
      <c r="B39" s="62" t="s">
        <v>13</v>
      </c>
      <c r="C39" s="63" t="s">
        <v>20</v>
      </c>
      <c r="D39" s="64" t="str">
        <f>_xlfn.XLOOKUP($F39,Sheet3!$B:$B,Sheet3!$E:$E)</f>
        <v>BINIMOY</v>
      </c>
      <c r="E39" s="64" t="str">
        <f>_xlfn.XLOOKUP(F39,Sheet3!$B:$B,Sheet3!$C:$C)</f>
        <v>BINIMOY - GREEN</v>
      </c>
      <c r="F39" s="108" t="s">
        <v>638</v>
      </c>
      <c r="G39" s="64" t="s">
        <v>665</v>
      </c>
      <c r="H39" s="64">
        <v>155520</v>
      </c>
      <c r="I39" s="65">
        <v>12</v>
      </c>
      <c r="J39" s="60">
        <f>K39*I39</f>
        <v>53568</v>
      </c>
      <c r="K39" s="60">
        <v>4464</v>
      </c>
      <c r="L39" s="60">
        <f>M39*I39</f>
        <v>53568</v>
      </c>
      <c r="M39" s="60">
        <v>4464</v>
      </c>
      <c r="N39" s="60">
        <v>31</v>
      </c>
      <c r="O39" s="60">
        <v>0</v>
      </c>
      <c r="P39" s="59">
        <v>380</v>
      </c>
      <c r="Q39" s="59">
        <v>2</v>
      </c>
      <c r="R39" s="59"/>
      <c r="S39" s="137"/>
      <c r="T39" s="61" t="s">
        <v>662</v>
      </c>
      <c r="U39" s="34"/>
      <c r="W39" s="34"/>
    </row>
    <row r="40" spans="2:23" ht="36" customHeight="1" thickBot="1">
      <c r="B40" s="66" t="s">
        <v>13</v>
      </c>
      <c r="C40" s="67" t="s">
        <v>20</v>
      </c>
      <c r="D40" s="68" t="str">
        <f>_xlfn.XLOOKUP($F40,Sheet3!$B:$B,Sheet3!$E:$E)</f>
        <v>BINIMOY</v>
      </c>
      <c r="E40" s="68" t="str">
        <f>_xlfn.XLOOKUP(F40,Sheet3!$B:$B,Sheet3!$C:$C)</f>
        <v>Binimoy - ORANGE</v>
      </c>
      <c r="F40" s="108" t="s">
        <v>226</v>
      </c>
      <c r="G40" s="68" t="s">
        <v>665</v>
      </c>
      <c r="H40" s="68">
        <v>103680</v>
      </c>
      <c r="I40" s="69">
        <v>12</v>
      </c>
      <c r="J40" s="69">
        <f>K40*I40</f>
        <v>17280</v>
      </c>
      <c r="K40" s="69">
        <v>1440</v>
      </c>
      <c r="L40" s="69">
        <f>M40*I40</f>
        <v>17280</v>
      </c>
      <c r="M40" s="69">
        <v>1440</v>
      </c>
      <c r="N40" s="69">
        <v>10</v>
      </c>
      <c r="O40" s="69">
        <v>0</v>
      </c>
      <c r="P40" s="68">
        <v>80</v>
      </c>
      <c r="Q40" s="68">
        <v>2</v>
      </c>
      <c r="R40" s="68"/>
      <c r="S40" s="138"/>
      <c r="T40" s="70" t="s">
        <v>662</v>
      </c>
      <c r="U40" s="2"/>
      <c r="W40" s="2"/>
    </row>
    <row r="41" spans="2:23" ht="15.75" thickBot="1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2:23" ht="36" customHeight="1" thickBot="1">
      <c r="B42" s="37" t="s">
        <v>19</v>
      </c>
      <c r="C42" s="38">
        <v>1</v>
      </c>
      <c r="D42" s="39" t="str">
        <f>_xlfn.XLOOKUP($F42,Sheet3!$B:$B,Sheet3!$E:$E)</f>
        <v>BINIMOY</v>
      </c>
      <c r="E42" s="39" t="str">
        <f>_xlfn.XLOOKUP(F42,Sheet3!$B:$B,Sheet3!$C:$C)</f>
        <v>Yellow - BNM</v>
      </c>
      <c r="F42" s="109" t="s">
        <v>606</v>
      </c>
      <c r="G42" s="39" t="s">
        <v>665</v>
      </c>
      <c r="H42" s="39">
        <v>138240</v>
      </c>
      <c r="I42" s="74"/>
      <c r="J42" s="40">
        <v>37700</v>
      </c>
      <c r="K42" s="74"/>
      <c r="L42" s="40">
        <v>37700</v>
      </c>
      <c r="M42" s="74"/>
      <c r="N42" s="74"/>
      <c r="O42" s="40">
        <v>5</v>
      </c>
      <c r="P42" s="39">
        <v>460</v>
      </c>
      <c r="Q42" s="39">
        <v>1</v>
      </c>
      <c r="R42" s="39">
        <v>20</v>
      </c>
      <c r="S42" s="139" t="s">
        <v>666</v>
      </c>
      <c r="T42" s="41" t="s">
        <v>662</v>
      </c>
      <c r="U42" s="1"/>
      <c r="W42" s="6"/>
    </row>
    <row r="43" spans="2:23" ht="36" customHeight="1">
      <c r="B43" s="42" t="s">
        <v>19</v>
      </c>
      <c r="C43" s="43">
        <v>2</v>
      </c>
      <c r="D43" s="44" t="str">
        <f>_xlfn.XLOOKUP($F43,Sheet3!$B:$B,Sheet3!$E:$E)</f>
        <v>BINIMOY</v>
      </c>
      <c r="E43" s="44" t="str">
        <f>_xlfn.XLOOKUP(F43,Sheet3!$B:$B,Sheet3!$C:$C)</f>
        <v>Brown - BNM</v>
      </c>
      <c r="F43" s="109" t="s">
        <v>238</v>
      </c>
      <c r="G43" s="44" t="s">
        <v>665</v>
      </c>
      <c r="H43" s="44">
        <v>120960</v>
      </c>
      <c r="I43" s="72"/>
      <c r="J43" s="45">
        <v>33408</v>
      </c>
      <c r="K43" s="72"/>
      <c r="L43" s="45">
        <v>33350</v>
      </c>
      <c r="M43" s="72"/>
      <c r="N43" s="72"/>
      <c r="O43" s="45">
        <v>58</v>
      </c>
      <c r="P43" s="44">
        <v>460</v>
      </c>
      <c r="Q43" s="44">
        <v>1</v>
      </c>
      <c r="R43" s="44">
        <v>20</v>
      </c>
      <c r="S43" s="139" t="s">
        <v>666</v>
      </c>
      <c r="T43" s="46" t="s">
        <v>662</v>
      </c>
      <c r="U43" s="1"/>
      <c r="W43" s="6"/>
    </row>
    <row r="44" spans="2:23" ht="36" customHeight="1">
      <c r="B44" s="42"/>
      <c r="C44" s="43"/>
      <c r="D44" s="44"/>
      <c r="E44" s="44"/>
      <c r="F44" s="44"/>
      <c r="G44" s="44"/>
      <c r="H44" s="44"/>
      <c r="I44" s="72"/>
      <c r="J44" s="45"/>
      <c r="K44" s="72"/>
      <c r="L44" s="45"/>
      <c r="M44" s="72"/>
      <c r="N44" s="72"/>
      <c r="O44" s="45"/>
      <c r="P44" s="44"/>
      <c r="Q44" s="44"/>
      <c r="R44" s="44"/>
      <c r="S44" s="140"/>
      <c r="T44" s="46"/>
      <c r="U44" s="1"/>
      <c r="W44" s="1"/>
    </row>
    <row r="45" spans="2:23" ht="36" customHeight="1" thickBot="1">
      <c r="B45" s="47"/>
      <c r="C45" s="48"/>
      <c r="D45" s="49"/>
      <c r="E45" s="49"/>
      <c r="F45" s="49"/>
      <c r="G45" s="49"/>
      <c r="H45" s="49"/>
      <c r="I45" s="73"/>
      <c r="J45" s="50"/>
      <c r="K45" s="73"/>
      <c r="L45" s="50"/>
      <c r="M45" s="73"/>
      <c r="N45" s="73"/>
      <c r="O45" s="50"/>
      <c r="P45" s="49"/>
      <c r="Q45" s="49"/>
      <c r="R45" s="49"/>
      <c r="S45" s="141"/>
      <c r="T45" s="51"/>
      <c r="U45" s="2"/>
      <c r="W45" s="2"/>
    </row>
  </sheetData>
  <mergeCells count="7">
    <mergeCell ref="B1:H1"/>
    <mergeCell ref="B2:H2"/>
    <mergeCell ref="S4:S5"/>
    <mergeCell ref="S32:S33"/>
    <mergeCell ref="B3:D3"/>
    <mergeCell ref="E3:G3"/>
    <mergeCell ref="I3:J3"/>
  </mergeCells>
  <phoneticPr fontId="1" type="noConversion"/>
  <pageMargins left="0.15748031496062992" right="0.15748031496062992" top="0.31496062992125984" bottom="0.19685039370078741" header="0.31496062992125984" footer="0.31496062992125984"/>
  <pageSetup paperSize="9" scale="36" orientation="landscape" r:id="rId1"/>
  <rowBreaks count="1" manualBreakCount="1">
    <brk id="46" max="1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8731-7589-481F-B735-432B6E56AE4D}">
  <dimension ref="A1:K74"/>
  <sheetViews>
    <sheetView topLeftCell="A28" workbookViewId="0">
      <selection activeCell="B4" sqref="B4"/>
    </sheetView>
  </sheetViews>
  <sheetFormatPr defaultRowHeight="15"/>
  <cols>
    <col min="1" max="2" width="6.5703125" customWidth="1"/>
    <col min="3" max="3" width="11.85546875" bestFit="1" customWidth="1"/>
    <col min="4" max="5" width="10.5703125" customWidth="1"/>
    <col min="6" max="6" width="10" customWidth="1"/>
  </cols>
  <sheetData>
    <row r="1" spans="1:11">
      <c r="A1" s="104" t="s">
        <v>621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3" spans="1:11">
      <c r="A3" s="105" t="s">
        <v>622</v>
      </c>
      <c r="B3" s="105" t="s">
        <v>631</v>
      </c>
      <c r="C3" s="105" t="s">
        <v>623</v>
      </c>
      <c r="D3" s="105" t="s">
        <v>624</v>
      </c>
      <c r="E3" s="105" t="s">
        <v>630</v>
      </c>
      <c r="F3" s="105" t="s">
        <v>625</v>
      </c>
      <c r="G3" s="105" t="s">
        <v>72</v>
      </c>
      <c r="H3" s="105" t="s">
        <v>626</v>
      </c>
      <c r="I3" s="105" t="s">
        <v>627</v>
      </c>
      <c r="J3" s="105" t="s">
        <v>628</v>
      </c>
      <c r="K3" s="105" t="s">
        <v>629</v>
      </c>
    </row>
    <row r="4" spans="1:11">
      <c r="A4" s="106">
        <v>1</v>
      </c>
      <c r="B4" s="1"/>
      <c r="C4" s="1"/>
      <c r="D4" s="1"/>
      <c r="E4" s="1"/>
      <c r="F4" s="1"/>
      <c r="G4" s="1"/>
      <c r="H4" s="1">
        <f>G4*12</f>
        <v>0</v>
      </c>
      <c r="I4" s="1">
        <f>H4*12</f>
        <v>0</v>
      </c>
      <c r="J4" s="1">
        <f>I4*12</f>
        <v>0</v>
      </c>
      <c r="K4" s="1"/>
    </row>
    <row r="5" spans="1:11">
      <c r="A5" s="106">
        <v>2</v>
      </c>
      <c r="B5" s="1"/>
      <c r="C5" s="1"/>
      <c r="D5" s="1"/>
      <c r="E5" s="1"/>
      <c r="F5" s="1"/>
      <c r="G5" s="1"/>
      <c r="H5" s="1">
        <f t="shared" ref="H5:J5" si="0">G5*12</f>
        <v>0</v>
      </c>
      <c r="I5" s="1">
        <f t="shared" si="0"/>
        <v>0</v>
      </c>
      <c r="J5" s="1">
        <f t="shared" si="0"/>
        <v>0</v>
      </c>
      <c r="K5" s="1"/>
    </row>
    <row r="6" spans="1:11">
      <c r="A6" s="106">
        <v>3</v>
      </c>
      <c r="B6" s="1"/>
      <c r="C6" s="1"/>
      <c r="D6" s="1"/>
      <c r="E6" s="1"/>
      <c r="F6" s="1"/>
      <c r="G6" s="1"/>
      <c r="H6" s="1">
        <f t="shared" ref="H6:J6" si="1">G6*12</f>
        <v>0</v>
      </c>
      <c r="I6" s="1">
        <f t="shared" si="1"/>
        <v>0</v>
      </c>
      <c r="J6" s="1">
        <f t="shared" si="1"/>
        <v>0</v>
      </c>
      <c r="K6" s="1"/>
    </row>
    <row r="7" spans="1:11">
      <c r="A7" s="106">
        <v>4</v>
      </c>
      <c r="B7" s="1"/>
      <c r="C7" s="1"/>
      <c r="D7" s="1"/>
      <c r="E7" s="1"/>
      <c r="F7" s="1"/>
      <c r="G7" s="1"/>
      <c r="H7" s="1">
        <f t="shared" ref="H7:J7" si="2">G7*12</f>
        <v>0</v>
      </c>
      <c r="I7" s="1">
        <f t="shared" si="2"/>
        <v>0</v>
      </c>
      <c r="J7" s="1">
        <f t="shared" si="2"/>
        <v>0</v>
      </c>
      <c r="K7" s="1"/>
    </row>
    <row r="8" spans="1:11">
      <c r="A8" s="106">
        <v>5</v>
      </c>
      <c r="B8" s="1"/>
      <c r="C8" s="1"/>
      <c r="D8" s="1"/>
      <c r="E8" s="1"/>
      <c r="F8" s="1"/>
      <c r="G8" s="1"/>
      <c r="H8" s="1">
        <f t="shared" ref="H8:J8" si="3">G8*12</f>
        <v>0</v>
      </c>
      <c r="I8" s="1">
        <f t="shared" si="3"/>
        <v>0</v>
      </c>
      <c r="J8" s="1">
        <f t="shared" si="3"/>
        <v>0</v>
      </c>
      <c r="K8" s="1"/>
    </row>
    <row r="9" spans="1:11">
      <c r="A9" s="106">
        <v>6</v>
      </c>
      <c r="B9" s="1"/>
      <c r="C9" s="1"/>
      <c r="D9" s="1"/>
      <c r="E9" s="1"/>
      <c r="F9" s="1"/>
      <c r="G9" s="1"/>
      <c r="H9" s="1">
        <f t="shared" ref="H9:J9" si="4">G9*12</f>
        <v>0</v>
      </c>
      <c r="I9" s="1">
        <f t="shared" si="4"/>
        <v>0</v>
      </c>
      <c r="J9" s="1">
        <f t="shared" si="4"/>
        <v>0</v>
      </c>
      <c r="K9" s="1"/>
    </row>
    <row r="10" spans="1:11">
      <c r="A10" s="106" t="str">
        <f>IF(E10="","",SUBTOTAL(3,$E$4:E10))</f>
        <v/>
      </c>
      <c r="B10" s="1"/>
      <c r="C10" s="1"/>
      <c r="D10" s="1"/>
      <c r="E10" s="1"/>
      <c r="F10" s="1"/>
      <c r="G10" s="1"/>
      <c r="H10" s="1">
        <f t="shared" ref="H10:J10" si="5">G10*12</f>
        <v>0</v>
      </c>
      <c r="I10" s="1">
        <f t="shared" si="5"/>
        <v>0</v>
      </c>
      <c r="J10" s="1">
        <f t="shared" si="5"/>
        <v>0</v>
      </c>
      <c r="K10" s="1"/>
    </row>
    <row r="11" spans="1:11">
      <c r="A11" s="106" t="str">
        <f>IF(E11="","",SUBTOTAL(3,$E$4:E11))</f>
        <v/>
      </c>
      <c r="B11" s="1"/>
      <c r="C11" s="1"/>
      <c r="D11" s="1"/>
      <c r="E11" s="1"/>
      <c r="F11" s="1"/>
      <c r="G11" s="1"/>
      <c r="H11" s="1">
        <f t="shared" ref="H11:J11" si="6">G11*12</f>
        <v>0</v>
      </c>
      <c r="I11" s="1">
        <f t="shared" si="6"/>
        <v>0</v>
      </c>
      <c r="J11" s="1">
        <f t="shared" si="6"/>
        <v>0</v>
      </c>
      <c r="K11" s="1"/>
    </row>
    <row r="12" spans="1:11">
      <c r="A12" s="106" t="str">
        <f>IF(E12="","",SUBTOTAL(3,$E$4:E12))</f>
        <v/>
      </c>
      <c r="B12" s="1"/>
      <c r="C12" s="1"/>
      <c r="D12" s="1"/>
      <c r="E12" s="1"/>
      <c r="F12" s="1"/>
      <c r="G12" s="1"/>
      <c r="H12" s="1">
        <f t="shared" ref="H12:J12" si="7">G12*12</f>
        <v>0</v>
      </c>
      <c r="I12" s="1">
        <f t="shared" si="7"/>
        <v>0</v>
      </c>
      <c r="J12" s="1">
        <f t="shared" si="7"/>
        <v>0</v>
      </c>
      <c r="K12" s="1"/>
    </row>
    <row r="13" spans="1:11">
      <c r="A13" s="106" t="str">
        <f>IF(E13="","",SUBTOTAL(3,$E$4:E13))</f>
        <v/>
      </c>
      <c r="B13" s="1"/>
      <c r="C13" s="1"/>
      <c r="D13" s="1"/>
      <c r="E13" s="1"/>
      <c r="F13" s="1"/>
      <c r="G13" s="1"/>
      <c r="H13" s="1">
        <f t="shared" ref="H13:J13" si="8">G13*12</f>
        <v>0</v>
      </c>
      <c r="I13" s="1">
        <f t="shared" si="8"/>
        <v>0</v>
      </c>
      <c r="J13" s="1">
        <f t="shared" si="8"/>
        <v>0</v>
      </c>
      <c r="K13" s="1"/>
    </row>
    <row r="14" spans="1:11">
      <c r="A14" s="106" t="str">
        <f>IF(E14="","",SUBTOTAL(3,$E$4:E14))</f>
        <v/>
      </c>
      <c r="B14" s="1"/>
      <c r="C14" s="1"/>
      <c r="D14" s="1"/>
      <c r="E14" s="1"/>
      <c r="F14" s="1"/>
      <c r="G14" s="1"/>
      <c r="H14" s="1">
        <f t="shared" ref="H14:J14" si="9">G14*12</f>
        <v>0</v>
      </c>
      <c r="I14" s="1">
        <f t="shared" si="9"/>
        <v>0</v>
      </c>
      <c r="J14" s="1">
        <f t="shared" si="9"/>
        <v>0</v>
      </c>
      <c r="K14" s="1"/>
    </row>
    <row r="15" spans="1:11">
      <c r="A15" s="106" t="str">
        <f>IF(E15="","",SUBTOTAL(3,$E$4:E15))</f>
        <v/>
      </c>
      <c r="B15" s="1"/>
      <c r="C15" s="1"/>
      <c r="D15" s="1"/>
      <c r="E15" s="1"/>
      <c r="F15" s="1"/>
      <c r="G15" s="1"/>
      <c r="H15" s="1">
        <f t="shared" ref="H15:J15" si="10">G15*12</f>
        <v>0</v>
      </c>
      <c r="I15" s="1">
        <f t="shared" si="10"/>
        <v>0</v>
      </c>
      <c r="J15" s="1">
        <f t="shared" si="10"/>
        <v>0</v>
      </c>
      <c r="K15" s="1"/>
    </row>
    <row r="16" spans="1:11">
      <c r="A16" s="106" t="str">
        <f>IF(E16="","",SUBTOTAL(3,$E$4:E16))</f>
        <v/>
      </c>
      <c r="B16" s="1"/>
      <c r="C16" s="1"/>
      <c r="D16" s="1"/>
      <c r="E16" s="1"/>
      <c r="F16" s="1"/>
      <c r="G16" s="1"/>
      <c r="H16" s="1">
        <f t="shared" ref="H16:J16" si="11">G16*12</f>
        <v>0</v>
      </c>
      <c r="I16" s="1">
        <f t="shared" si="11"/>
        <v>0</v>
      </c>
      <c r="J16" s="1">
        <f t="shared" si="11"/>
        <v>0</v>
      </c>
      <c r="K16" s="1"/>
    </row>
    <row r="17" spans="1:11">
      <c r="A17" s="106" t="str">
        <f>IF(E17="","",SUBTOTAL(3,$E$4:E17))</f>
        <v/>
      </c>
      <c r="B17" s="1"/>
      <c r="C17" s="1"/>
      <c r="D17" s="1"/>
      <c r="E17" s="1"/>
      <c r="F17" s="1"/>
      <c r="G17" s="1"/>
      <c r="H17" s="1">
        <f t="shared" ref="H17:J17" si="12">G17*12</f>
        <v>0</v>
      </c>
      <c r="I17" s="1">
        <f t="shared" si="12"/>
        <v>0</v>
      </c>
      <c r="J17" s="1">
        <f t="shared" si="12"/>
        <v>0</v>
      </c>
      <c r="K17" s="1"/>
    </row>
    <row r="18" spans="1:11">
      <c r="A18" s="106" t="str">
        <f>IF(E18="","",SUBTOTAL(3,$E$4:E18))</f>
        <v/>
      </c>
      <c r="B18" s="1"/>
      <c r="C18" s="1"/>
      <c r="D18" s="1"/>
      <c r="E18" s="1"/>
      <c r="F18" s="1"/>
      <c r="G18" s="1"/>
      <c r="H18" s="1">
        <f t="shared" ref="H18:J18" si="13">G18*12</f>
        <v>0</v>
      </c>
      <c r="I18" s="1">
        <f t="shared" si="13"/>
        <v>0</v>
      </c>
      <c r="J18" s="1">
        <f t="shared" si="13"/>
        <v>0</v>
      </c>
      <c r="K18" s="1"/>
    </row>
    <row r="19" spans="1:11">
      <c r="A19" s="106" t="str">
        <f>IF(E19="","",SUBTOTAL(3,$E$4:E19))</f>
        <v/>
      </c>
      <c r="B19" s="1"/>
      <c r="C19" s="1"/>
      <c r="D19" s="1"/>
      <c r="E19" s="1"/>
      <c r="F19" s="1"/>
      <c r="G19" s="1"/>
      <c r="H19" s="1">
        <f t="shared" ref="H19:J19" si="14">G19*12</f>
        <v>0</v>
      </c>
      <c r="I19" s="1">
        <f t="shared" si="14"/>
        <v>0</v>
      </c>
      <c r="J19" s="1">
        <f t="shared" si="14"/>
        <v>0</v>
      </c>
      <c r="K19" s="1"/>
    </row>
    <row r="20" spans="1:11">
      <c r="A20" s="106" t="str">
        <f>IF(E20="","",SUBTOTAL(3,$E$4:E20))</f>
        <v/>
      </c>
      <c r="B20" s="1"/>
      <c r="C20" s="1"/>
      <c r="D20" s="1"/>
      <c r="E20" s="1"/>
      <c r="F20" s="1"/>
      <c r="G20" s="1"/>
      <c r="H20" s="1">
        <f t="shared" ref="H20:J20" si="15">G20*12</f>
        <v>0</v>
      </c>
      <c r="I20" s="1">
        <f t="shared" si="15"/>
        <v>0</v>
      </c>
      <c r="J20" s="1">
        <f t="shared" si="15"/>
        <v>0</v>
      </c>
      <c r="K20" s="1"/>
    </row>
    <row r="21" spans="1:11">
      <c r="A21" s="106" t="str">
        <f>IF(E21="","",SUBTOTAL(3,$E$4:E21))</f>
        <v/>
      </c>
      <c r="B21" s="1"/>
      <c r="C21" s="1"/>
      <c r="D21" s="1"/>
      <c r="E21" s="1"/>
      <c r="F21" s="1"/>
      <c r="G21" s="1"/>
      <c r="H21" s="1">
        <f t="shared" ref="H21:J21" si="16">G21*12</f>
        <v>0</v>
      </c>
      <c r="I21" s="1">
        <f t="shared" si="16"/>
        <v>0</v>
      </c>
      <c r="J21" s="1">
        <f t="shared" si="16"/>
        <v>0</v>
      </c>
      <c r="K21" s="1"/>
    </row>
    <row r="22" spans="1:11">
      <c r="A22" s="106" t="str">
        <f>IF(E22="","",SUBTOTAL(3,$E$4:E22))</f>
        <v/>
      </c>
      <c r="B22" s="1"/>
      <c r="C22" s="1"/>
      <c r="D22" s="1"/>
      <c r="E22" s="1"/>
      <c r="F22" s="1"/>
      <c r="G22" s="1"/>
      <c r="H22" s="1">
        <f t="shared" ref="H22:J22" si="17">G22*12</f>
        <v>0</v>
      </c>
      <c r="I22" s="1">
        <f t="shared" si="17"/>
        <v>0</v>
      </c>
      <c r="J22" s="1">
        <f t="shared" si="17"/>
        <v>0</v>
      </c>
      <c r="K22" s="1"/>
    </row>
    <row r="23" spans="1:11">
      <c r="A23" s="106" t="str">
        <f>IF(E23="","",SUBTOTAL(3,$E$4:E23))</f>
        <v/>
      </c>
      <c r="B23" s="1"/>
      <c r="C23" s="1"/>
      <c r="D23" s="1"/>
      <c r="E23" s="1"/>
      <c r="F23" s="1"/>
      <c r="G23" s="1"/>
      <c r="H23" s="1">
        <f t="shared" ref="H23:J23" si="18">G23*12</f>
        <v>0</v>
      </c>
      <c r="I23" s="1">
        <f t="shared" si="18"/>
        <v>0</v>
      </c>
      <c r="J23" s="1">
        <f t="shared" si="18"/>
        <v>0</v>
      </c>
      <c r="K23" s="1"/>
    </row>
    <row r="24" spans="1:11">
      <c r="A24" s="106" t="str">
        <f>IF(E24="","",SUBTOTAL(3,$E$4:E24))</f>
        <v/>
      </c>
      <c r="B24" s="1"/>
      <c r="C24" s="1"/>
      <c r="D24" s="1"/>
      <c r="E24" s="1"/>
      <c r="F24" s="1"/>
      <c r="G24" s="1"/>
      <c r="H24" s="1">
        <f t="shared" ref="H24:J24" si="19">G24*12</f>
        <v>0</v>
      </c>
      <c r="I24" s="1">
        <f t="shared" si="19"/>
        <v>0</v>
      </c>
      <c r="J24" s="1">
        <f t="shared" si="19"/>
        <v>0</v>
      </c>
      <c r="K24" s="1"/>
    </row>
    <row r="25" spans="1:11">
      <c r="A25" s="106" t="str">
        <f>IF(E25="","",SUBTOTAL(3,$E$4:E25))</f>
        <v/>
      </c>
      <c r="B25" s="1"/>
      <c r="C25" s="1"/>
      <c r="D25" s="1"/>
      <c r="E25" s="1"/>
      <c r="F25" s="1"/>
      <c r="G25" s="1"/>
      <c r="H25" s="1">
        <f t="shared" ref="H25:J25" si="20">G25*12</f>
        <v>0</v>
      </c>
      <c r="I25" s="1">
        <f t="shared" si="20"/>
        <v>0</v>
      </c>
      <c r="J25" s="1">
        <f t="shared" si="20"/>
        <v>0</v>
      </c>
      <c r="K25" s="1"/>
    </row>
    <row r="26" spans="1:11">
      <c r="A26" s="106" t="str">
        <f>IF(E26="","",SUBTOTAL(3,$E$4:E26))</f>
        <v/>
      </c>
      <c r="B26" s="1"/>
      <c r="C26" s="1"/>
      <c r="D26" s="1"/>
      <c r="E26" s="1"/>
      <c r="F26" s="1"/>
      <c r="G26" s="1"/>
      <c r="H26" s="1">
        <f t="shared" ref="H26:J26" si="21">G26*12</f>
        <v>0</v>
      </c>
      <c r="I26" s="1">
        <f t="shared" si="21"/>
        <v>0</v>
      </c>
      <c r="J26" s="1">
        <f t="shared" si="21"/>
        <v>0</v>
      </c>
      <c r="K26" s="1"/>
    </row>
    <row r="27" spans="1:11">
      <c r="A27" s="106" t="str">
        <f>IF(E27="","",SUBTOTAL(3,$E$4:E27))</f>
        <v/>
      </c>
      <c r="B27" s="1"/>
      <c r="C27" s="1"/>
      <c r="D27" s="1"/>
      <c r="E27" s="1"/>
      <c r="F27" s="1"/>
      <c r="G27" s="1"/>
      <c r="H27" s="1">
        <f t="shared" ref="H27:J27" si="22">G27*12</f>
        <v>0</v>
      </c>
      <c r="I27" s="1">
        <f t="shared" si="22"/>
        <v>0</v>
      </c>
      <c r="J27" s="1">
        <f t="shared" si="22"/>
        <v>0</v>
      </c>
      <c r="K27" s="1"/>
    </row>
    <row r="28" spans="1:11">
      <c r="A28" s="106" t="str">
        <f>IF(E28="","",SUBTOTAL(3,$E$4:E28))</f>
        <v/>
      </c>
      <c r="B28" s="1"/>
      <c r="C28" s="1"/>
      <c r="D28" s="1"/>
      <c r="E28" s="1"/>
      <c r="F28" s="1"/>
      <c r="G28" s="1"/>
      <c r="H28" s="1">
        <f t="shared" ref="H28:J28" si="23">G28*12</f>
        <v>0</v>
      </c>
      <c r="I28" s="1">
        <f t="shared" si="23"/>
        <v>0</v>
      </c>
      <c r="J28" s="1">
        <f t="shared" si="23"/>
        <v>0</v>
      </c>
      <c r="K28" s="1"/>
    </row>
    <row r="29" spans="1:11">
      <c r="A29" s="106" t="str">
        <f>IF(E29="","",SUBTOTAL(3,$E$4:E29))</f>
        <v/>
      </c>
      <c r="B29" s="1"/>
      <c r="C29" s="1"/>
      <c r="D29" s="1"/>
      <c r="E29" s="1"/>
      <c r="F29" s="1"/>
      <c r="G29" s="1"/>
      <c r="H29" s="1">
        <f t="shared" ref="H29:J29" si="24">G29*12</f>
        <v>0</v>
      </c>
      <c r="I29" s="1">
        <f t="shared" si="24"/>
        <v>0</v>
      </c>
      <c r="J29" s="1">
        <f t="shared" si="24"/>
        <v>0</v>
      </c>
      <c r="K29" s="1"/>
    </row>
    <row r="30" spans="1:11">
      <c r="A30" s="106" t="str">
        <f>IF(E30="","",SUBTOTAL(3,$E$4:E30))</f>
        <v/>
      </c>
      <c r="B30" s="1"/>
      <c r="C30" s="1"/>
      <c r="D30" s="1"/>
      <c r="E30" s="1"/>
      <c r="F30" s="1"/>
      <c r="G30" s="1"/>
      <c r="H30" s="1">
        <f t="shared" ref="H30:J30" si="25">G30*12</f>
        <v>0</v>
      </c>
      <c r="I30" s="1">
        <f t="shared" si="25"/>
        <v>0</v>
      </c>
      <c r="J30" s="1">
        <f t="shared" si="25"/>
        <v>0</v>
      </c>
      <c r="K30" s="1"/>
    </row>
    <row r="31" spans="1:11">
      <c r="A31" s="106" t="str">
        <f>IF(E31="","",SUBTOTAL(3,$E$4:E31))</f>
        <v/>
      </c>
      <c r="B31" s="1"/>
      <c r="C31" s="1"/>
      <c r="D31" s="1"/>
      <c r="E31" s="1"/>
      <c r="F31" s="1"/>
      <c r="G31" s="1"/>
      <c r="H31" s="1">
        <f t="shared" ref="H31:J31" si="26">G31*12</f>
        <v>0</v>
      </c>
      <c r="I31" s="1">
        <f t="shared" si="26"/>
        <v>0</v>
      </c>
      <c r="J31" s="1">
        <f t="shared" si="26"/>
        <v>0</v>
      </c>
      <c r="K31" s="1"/>
    </row>
    <row r="32" spans="1:11">
      <c r="A32" s="106" t="str">
        <f>IF(E32="","",SUBTOTAL(3,$E$4:E32))</f>
        <v/>
      </c>
      <c r="B32" s="1"/>
      <c r="C32" s="1"/>
      <c r="D32" s="1"/>
      <c r="E32" s="1"/>
      <c r="F32" s="1"/>
      <c r="G32" s="1"/>
      <c r="H32" s="1">
        <f t="shared" ref="H32:J32" si="27">G32*12</f>
        <v>0</v>
      </c>
      <c r="I32" s="1">
        <f t="shared" si="27"/>
        <v>0</v>
      </c>
      <c r="J32" s="1">
        <f t="shared" si="27"/>
        <v>0</v>
      </c>
      <c r="K32" s="1"/>
    </row>
    <row r="33" spans="1:11">
      <c r="A33" s="106" t="str">
        <f>IF(E33="","",SUBTOTAL(3,$E$4:E33))</f>
        <v/>
      </c>
      <c r="B33" s="1"/>
      <c r="C33" s="1"/>
      <c r="D33" s="1"/>
      <c r="E33" s="1"/>
      <c r="F33" s="1"/>
      <c r="G33" s="1"/>
      <c r="H33" s="1">
        <f t="shared" ref="H33:J33" si="28">G33*12</f>
        <v>0</v>
      </c>
      <c r="I33" s="1">
        <f t="shared" si="28"/>
        <v>0</v>
      </c>
      <c r="J33" s="1">
        <f t="shared" si="28"/>
        <v>0</v>
      </c>
      <c r="K33" s="1"/>
    </row>
    <row r="34" spans="1:11">
      <c r="A34" s="106" t="str">
        <f>IF(E34="","",SUBTOTAL(3,$E$4:E34))</f>
        <v/>
      </c>
      <c r="B34" s="1"/>
      <c r="C34" s="1"/>
      <c r="D34" s="1"/>
      <c r="E34" s="1"/>
      <c r="F34" s="1"/>
      <c r="G34" s="1"/>
      <c r="H34" s="1">
        <f t="shared" ref="H34:J34" si="29">G34*12</f>
        <v>0</v>
      </c>
      <c r="I34" s="1">
        <f t="shared" si="29"/>
        <v>0</v>
      </c>
      <c r="J34" s="1">
        <f t="shared" si="29"/>
        <v>0</v>
      </c>
      <c r="K34" s="1"/>
    </row>
    <row r="35" spans="1:11">
      <c r="A35" s="106" t="str">
        <f>IF(E35="","",SUBTOTAL(3,$E$4:E35))</f>
        <v/>
      </c>
      <c r="B35" s="1"/>
      <c r="C35" s="1"/>
      <c r="D35" s="1"/>
      <c r="E35" s="1"/>
      <c r="F35" s="1"/>
      <c r="G35" s="1"/>
      <c r="H35" s="1">
        <f t="shared" ref="H35:J35" si="30">G35*12</f>
        <v>0</v>
      </c>
      <c r="I35" s="1">
        <f t="shared" si="30"/>
        <v>0</v>
      </c>
      <c r="J35" s="1">
        <f t="shared" si="30"/>
        <v>0</v>
      </c>
      <c r="K35" s="1"/>
    </row>
    <row r="36" spans="1:11">
      <c r="A36" s="106" t="str">
        <f>IF(E36="","",SUBTOTAL(3,$E$4:E36))</f>
        <v/>
      </c>
      <c r="B36" s="1"/>
      <c r="C36" s="1"/>
      <c r="D36" s="1"/>
      <c r="E36" s="1"/>
      <c r="F36" s="1"/>
      <c r="G36" s="1"/>
      <c r="H36" s="1">
        <f t="shared" ref="H36:J36" si="31">G36*12</f>
        <v>0</v>
      </c>
      <c r="I36" s="1">
        <f t="shared" si="31"/>
        <v>0</v>
      </c>
      <c r="J36" s="1">
        <f t="shared" si="31"/>
        <v>0</v>
      </c>
      <c r="K36" s="1"/>
    </row>
    <row r="37" spans="1:11">
      <c r="A37" s="106" t="str">
        <f>IF(E37="","",SUBTOTAL(3,$E$4:E37))</f>
        <v/>
      </c>
      <c r="B37" s="1"/>
      <c r="C37" s="1"/>
      <c r="D37" s="1"/>
      <c r="E37" s="1"/>
      <c r="F37" s="1"/>
      <c r="G37" s="1"/>
      <c r="H37" s="1">
        <f t="shared" ref="H37:J37" si="32">G37*12</f>
        <v>0</v>
      </c>
      <c r="I37" s="1">
        <f t="shared" si="32"/>
        <v>0</v>
      </c>
      <c r="J37" s="1">
        <f t="shared" si="32"/>
        <v>0</v>
      </c>
      <c r="K37" s="1"/>
    </row>
    <row r="38" spans="1:11">
      <c r="A38" s="106" t="str">
        <f>IF(E38="","",SUBTOTAL(3,$E$4:E38))</f>
        <v/>
      </c>
      <c r="B38" s="1"/>
      <c r="C38" s="1"/>
      <c r="D38" s="1"/>
      <c r="E38" s="1"/>
      <c r="F38" s="1"/>
      <c r="G38" s="1"/>
      <c r="H38" s="1">
        <f t="shared" ref="H38:J38" si="33">G38*12</f>
        <v>0</v>
      </c>
      <c r="I38" s="1">
        <f t="shared" si="33"/>
        <v>0</v>
      </c>
      <c r="J38" s="1">
        <f t="shared" si="33"/>
        <v>0</v>
      </c>
      <c r="K38" s="1"/>
    </row>
    <row r="39" spans="1:11">
      <c r="A39" s="106" t="str">
        <f>IF(E39="","",SUBTOTAL(3,$E$4:E39))</f>
        <v/>
      </c>
      <c r="B39" s="1"/>
      <c r="C39" s="1"/>
      <c r="D39" s="1"/>
      <c r="E39" s="1"/>
      <c r="F39" s="1"/>
      <c r="G39" s="1"/>
      <c r="H39" s="1">
        <f t="shared" ref="H39:J39" si="34">G39*12</f>
        <v>0</v>
      </c>
      <c r="I39" s="1">
        <f t="shared" si="34"/>
        <v>0</v>
      </c>
      <c r="J39" s="1">
        <f t="shared" si="34"/>
        <v>0</v>
      </c>
      <c r="K39" s="1"/>
    </row>
    <row r="40" spans="1:11">
      <c r="A40" s="106" t="str">
        <f>IF(E40="","",SUBTOTAL(3,$E$4:E40))</f>
        <v/>
      </c>
      <c r="B40" s="1"/>
      <c r="C40" s="1"/>
      <c r="D40" s="1"/>
      <c r="E40" s="1"/>
      <c r="F40" s="1"/>
      <c r="G40" s="1"/>
      <c r="H40" s="1">
        <f t="shared" ref="H40:J40" si="35">G40*12</f>
        <v>0</v>
      </c>
      <c r="I40" s="1">
        <f t="shared" si="35"/>
        <v>0</v>
      </c>
      <c r="J40" s="1">
        <f t="shared" si="35"/>
        <v>0</v>
      </c>
      <c r="K40" s="1"/>
    </row>
    <row r="41" spans="1:11">
      <c r="A41" s="106" t="str">
        <f>IF(E41="","",SUBTOTAL(3,$E$4:E41))</f>
        <v/>
      </c>
      <c r="B41" s="1"/>
      <c r="C41" s="1"/>
      <c r="D41" s="1"/>
      <c r="E41" s="1"/>
      <c r="F41" s="1"/>
      <c r="G41" s="1"/>
      <c r="H41" s="1">
        <f t="shared" ref="H41:J41" si="36">G41*12</f>
        <v>0</v>
      </c>
      <c r="I41" s="1">
        <f t="shared" si="36"/>
        <v>0</v>
      </c>
      <c r="J41" s="1">
        <f t="shared" si="36"/>
        <v>0</v>
      </c>
      <c r="K41" s="1"/>
    </row>
    <row r="42" spans="1:11">
      <c r="A42" s="106" t="str">
        <f>IF(E42="","",SUBTOTAL(3,$E$4:E42))</f>
        <v/>
      </c>
      <c r="B42" s="1"/>
      <c r="C42" s="1"/>
      <c r="D42" s="1"/>
      <c r="E42" s="1"/>
      <c r="F42" s="1"/>
      <c r="G42" s="1"/>
      <c r="H42" s="1">
        <f t="shared" ref="H42:J42" si="37">G42*12</f>
        <v>0</v>
      </c>
      <c r="I42" s="1">
        <f t="shared" si="37"/>
        <v>0</v>
      </c>
      <c r="J42" s="1">
        <f t="shared" si="37"/>
        <v>0</v>
      </c>
      <c r="K42" s="1"/>
    </row>
    <row r="43" spans="1:11">
      <c r="A43" s="106" t="str">
        <f>IF(E43="","",SUBTOTAL(3,$E$4:E43))</f>
        <v/>
      </c>
      <c r="B43" s="1"/>
      <c r="C43" s="1"/>
      <c r="D43" s="1"/>
      <c r="E43" s="1"/>
      <c r="F43" s="1"/>
      <c r="G43" s="1"/>
      <c r="H43" s="1">
        <f t="shared" ref="H43:J43" si="38">G43*12</f>
        <v>0</v>
      </c>
      <c r="I43" s="1">
        <f t="shared" si="38"/>
        <v>0</v>
      </c>
      <c r="J43" s="1">
        <f t="shared" si="38"/>
        <v>0</v>
      </c>
      <c r="K43" s="1"/>
    </row>
    <row r="44" spans="1:11">
      <c r="A44" s="106" t="str">
        <f>IF(E44="","",SUBTOTAL(3,$E$4:E44))</f>
        <v/>
      </c>
      <c r="B44" s="1"/>
      <c r="C44" s="1"/>
      <c r="D44" s="1"/>
      <c r="E44" s="1"/>
      <c r="F44" s="1"/>
      <c r="G44" s="1"/>
      <c r="H44" s="1">
        <f t="shared" ref="H44:J44" si="39">G44*12</f>
        <v>0</v>
      </c>
      <c r="I44" s="1">
        <f t="shared" si="39"/>
        <v>0</v>
      </c>
      <c r="J44" s="1">
        <f t="shared" si="39"/>
        <v>0</v>
      </c>
      <c r="K44" s="1"/>
    </row>
    <row r="45" spans="1:11">
      <c r="A45" s="106" t="str">
        <f>IF(E45="","",SUBTOTAL(3,$E$4:E45))</f>
        <v/>
      </c>
      <c r="B45" s="1"/>
      <c r="C45" s="1"/>
      <c r="D45" s="1"/>
      <c r="E45" s="1"/>
      <c r="F45" s="1"/>
      <c r="G45" s="1"/>
      <c r="H45" s="1">
        <f t="shared" ref="H45:J45" si="40">G45*12</f>
        <v>0</v>
      </c>
      <c r="I45" s="1">
        <f t="shared" si="40"/>
        <v>0</v>
      </c>
      <c r="J45" s="1">
        <f t="shared" si="40"/>
        <v>0</v>
      </c>
      <c r="K45" s="1"/>
    </row>
    <row r="46" spans="1:11">
      <c r="A46" s="106" t="str">
        <f>IF(E46="","",SUBTOTAL(3,$E$4:E46))</f>
        <v/>
      </c>
      <c r="B46" s="1"/>
      <c r="C46" s="1"/>
      <c r="D46" s="1"/>
      <c r="E46" s="1"/>
      <c r="F46" s="1"/>
      <c r="G46" s="1"/>
      <c r="H46" s="1">
        <f t="shared" ref="H46:J46" si="41">G46*12</f>
        <v>0</v>
      </c>
      <c r="I46" s="1">
        <f t="shared" si="41"/>
        <v>0</v>
      </c>
      <c r="J46" s="1">
        <f t="shared" si="41"/>
        <v>0</v>
      </c>
      <c r="K46" s="1"/>
    </row>
    <row r="47" spans="1:11">
      <c r="A47" s="106" t="str">
        <f>IF(E47="","",SUBTOTAL(3,$E$4:E47))</f>
        <v/>
      </c>
      <c r="B47" s="1"/>
      <c r="C47" s="1"/>
      <c r="D47" s="1"/>
      <c r="E47" s="1"/>
      <c r="F47" s="1"/>
      <c r="G47" s="1"/>
      <c r="H47" s="1">
        <f t="shared" ref="H47:J47" si="42">G47*12</f>
        <v>0</v>
      </c>
      <c r="I47" s="1">
        <f t="shared" si="42"/>
        <v>0</v>
      </c>
      <c r="J47" s="1">
        <f t="shared" si="42"/>
        <v>0</v>
      </c>
      <c r="K47" s="1"/>
    </row>
    <row r="48" spans="1:11">
      <c r="A48" s="106" t="str">
        <f>IF(E48="","",SUBTOTAL(3,$E$4:E48))</f>
        <v/>
      </c>
      <c r="B48" s="1"/>
      <c r="C48" s="1"/>
      <c r="D48" s="1"/>
      <c r="E48" s="1"/>
      <c r="F48" s="1"/>
      <c r="G48" s="1"/>
      <c r="H48" s="1">
        <f t="shared" ref="H48:J48" si="43">G48*12</f>
        <v>0</v>
      </c>
      <c r="I48" s="1">
        <f t="shared" si="43"/>
        <v>0</v>
      </c>
      <c r="J48" s="1">
        <f t="shared" si="43"/>
        <v>0</v>
      </c>
      <c r="K48" s="1"/>
    </row>
    <row r="49" spans="1:11">
      <c r="A49" s="106" t="str">
        <f>IF(E49="","",SUBTOTAL(3,$E$4:E49))</f>
        <v/>
      </c>
      <c r="B49" s="1"/>
      <c r="C49" s="1"/>
      <c r="D49" s="1"/>
      <c r="E49" s="1"/>
      <c r="F49" s="1"/>
      <c r="G49" s="1"/>
      <c r="H49" s="1">
        <f t="shared" ref="H49:J49" si="44">G49*12</f>
        <v>0</v>
      </c>
      <c r="I49" s="1">
        <f t="shared" si="44"/>
        <v>0</v>
      </c>
      <c r="J49" s="1">
        <f t="shared" si="44"/>
        <v>0</v>
      </c>
      <c r="K49" s="1"/>
    </row>
    <row r="50" spans="1:11">
      <c r="A50" s="106" t="str">
        <f>IF(E50="","",SUBTOTAL(3,$E$4:E50))</f>
        <v/>
      </c>
      <c r="B50" s="1"/>
      <c r="C50" s="1"/>
      <c r="D50" s="1"/>
      <c r="E50" s="1"/>
      <c r="F50" s="1"/>
      <c r="G50" s="1"/>
      <c r="H50" s="1">
        <f t="shared" ref="H50:J50" si="45">G50*12</f>
        <v>0</v>
      </c>
      <c r="I50" s="1">
        <f t="shared" si="45"/>
        <v>0</v>
      </c>
      <c r="J50" s="1">
        <f t="shared" si="45"/>
        <v>0</v>
      </c>
      <c r="K50" s="1"/>
    </row>
    <row r="51" spans="1:11">
      <c r="A51" s="106" t="str">
        <f>IF(E51="","",SUBTOTAL(3,$E$4:E51))</f>
        <v/>
      </c>
      <c r="B51" s="1"/>
      <c r="C51" s="1"/>
      <c r="D51" s="1"/>
      <c r="E51" s="1"/>
      <c r="F51" s="1"/>
      <c r="G51" s="1"/>
      <c r="H51" s="1">
        <f t="shared" ref="H51:J51" si="46">G51*12</f>
        <v>0</v>
      </c>
      <c r="I51" s="1">
        <f t="shared" si="46"/>
        <v>0</v>
      </c>
      <c r="J51" s="1">
        <f t="shared" si="46"/>
        <v>0</v>
      </c>
      <c r="K51" s="1"/>
    </row>
    <row r="52" spans="1:11">
      <c r="A52" s="106" t="str">
        <f>IF(E52="","",SUBTOTAL(3,$E$4:E52))</f>
        <v/>
      </c>
      <c r="B52" s="1"/>
      <c r="C52" s="1"/>
      <c r="D52" s="1"/>
      <c r="E52" s="1"/>
      <c r="F52" s="1"/>
      <c r="G52" s="1"/>
      <c r="H52" s="1">
        <f t="shared" ref="H52:J52" si="47">G52*12</f>
        <v>0</v>
      </c>
      <c r="I52" s="1">
        <f t="shared" si="47"/>
        <v>0</v>
      </c>
      <c r="J52" s="1">
        <f t="shared" si="47"/>
        <v>0</v>
      </c>
      <c r="K52" s="1"/>
    </row>
    <row r="53" spans="1:11">
      <c r="A53" s="106" t="str">
        <f>IF(E53="","",SUBTOTAL(3,$E$4:E53))</f>
        <v/>
      </c>
      <c r="B53" s="1"/>
      <c r="C53" s="1"/>
      <c r="D53" s="1"/>
      <c r="E53" s="1"/>
      <c r="F53" s="1"/>
      <c r="G53" s="1"/>
      <c r="H53" s="1">
        <f t="shared" ref="H53:J53" si="48">G53*12</f>
        <v>0</v>
      </c>
      <c r="I53" s="1">
        <f t="shared" si="48"/>
        <v>0</v>
      </c>
      <c r="J53" s="1">
        <f t="shared" si="48"/>
        <v>0</v>
      </c>
      <c r="K53" s="1"/>
    </row>
    <row r="54" spans="1:11">
      <c r="A54" s="106" t="str">
        <f>IF(E54="","",SUBTOTAL(3,$E$4:E54))</f>
        <v/>
      </c>
      <c r="B54" s="1"/>
      <c r="C54" s="1"/>
      <c r="D54" s="1"/>
      <c r="E54" s="1"/>
      <c r="F54" s="1"/>
      <c r="G54" s="1"/>
      <c r="H54" s="1">
        <f t="shared" ref="H54:J54" si="49">G54*12</f>
        <v>0</v>
      </c>
      <c r="I54" s="1">
        <f t="shared" si="49"/>
        <v>0</v>
      </c>
      <c r="J54" s="1">
        <f t="shared" si="49"/>
        <v>0</v>
      </c>
      <c r="K54" s="1"/>
    </row>
    <row r="55" spans="1:11">
      <c r="A55" s="106" t="str">
        <f>IF(E55="","",SUBTOTAL(3,$E$4:E55))</f>
        <v/>
      </c>
      <c r="B55" s="1"/>
      <c r="C55" s="1"/>
      <c r="D55" s="1"/>
      <c r="E55" s="1"/>
      <c r="F55" s="1"/>
      <c r="G55" s="1"/>
      <c r="H55" s="1">
        <f t="shared" ref="H55:J55" si="50">G55*12</f>
        <v>0</v>
      </c>
      <c r="I55" s="1">
        <f t="shared" si="50"/>
        <v>0</v>
      </c>
      <c r="J55" s="1">
        <f t="shared" si="50"/>
        <v>0</v>
      </c>
      <c r="K55" s="1"/>
    </row>
    <row r="56" spans="1:11">
      <c r="A56" s="106" t="str">
        <f>IF(E56="","",SUBTOTAL(3,$E$4:E56))</f>
        <v/>
      </c>
      <c r="B56" s="1"/>
      <c r="C56" s="1"/>
      <c r="D56" s="1"/>
      <c r="E56" s="1"/>
      <c r="F56" s="1"/>
      <c r="G56" s="1"/>
      <c r="H56" s="1">
        <f t="shared" ref="H56:J56" si="51">G56*12</f>
        <v>0</v>
      </c>
      <c r="I56" s="1">
        <f t="shared" si="51"/>
        <v>0</v>
      </c>
      <c r="J56" s="1">
        <f t="shared" si="51"/>
        <v>0</v>
      </c>
      <c r="K56" s="1"/>
    </row>
    <row r="57" spans="1:11">
      <c r="A57" s="106" t="str">
        <f>IF(E57="","",SUBTOTAL(3,$E$4:E57))</f>
        <v/>
      </c>
      <c r="B57" s="1"/>
      <c r="C57" s="1"/>
      <c r="D57" s="1"/>
      <c r="E57" s="1"/>
      <c r="F57" s="1"/>
      <c r="G57" s="1"/>
      <c r="H57" s="1">
        <f t="shared" ref="H57:J57" si="52">G57*12</f>
        <v>0</v>
      </c>
      <c r="I57" s="1">
        <f t="shared" si="52"/>
        <v>0</v>
      </c>
      <c r="J57" s="1">
        <f t="shared" si="52"/>
        <v>0</v>
      </c>
      <c r="K57" s="1"/>
    </row>
    <row r="58" spans="1:11">
      <c r="A58" s="106" t="str">
        <f>IF(E58="","",SUBTOTAL(3,$E$4:E58))</f>
        <v/>
      </c>
      <c r="B58" s="1"/>
      <c r="C58" s="1"/>
      <c r="D58" s="1"/>
      <c r="E58" s="1"/>
      <c r="F58" s="1"/>
      <c r="G58" s="1"/>
      <c r="H58" s="1">
        <f t="shared" ref="H58:J58" si="53">G58*12</f>
        <v>0</v>
      </c>
      <c r="I58" s="1">
        <f t="shared" si="53"/>
        <v>0</v>
      </c>
      <c r="J58" s="1">
        <f t="shared" si="53"/>
        <v>0</v>
      </c>
      <c r="K58" s="1"/>
    </row>
    <row r="59" spans="1:11">
      <c r="A59" s="106" t="str">
        <f>IF(E59="","",SUBTOTAL(3,$E$4:E59))</f>
        <v/>
      </c>
      <c r="B59" s="1"/>
      <c r="C59" s="1"/>
      <c r="D59" s="1"/>
      <c r="E59" s="1"/>
      <c r="F59" s="1"/>
      <c r="G59" s="1"/>
      <c r="H59" s="1">
        <f t="shared" ref="H59:J59" si="54">G59*12</f>
        <v>0</v>
      </c>
      <c r="I59" s="1">
        <f t="shared" si="54"/>
        <v>0</v>
      </c>
      <c r="J59" s="1">
        <f t="shared" si="54"/>
        <v>0</v>
      </c>
      <c r="K59" s="1"/>
    </row>
    <row r="60" spans="1:11">
      <c r="A60" s="106" t="str">
        <f>IF(E60="","",SUBTOTAL(3,$E$4:E60))</f>
        <v/>
      </c>
      <c r="B60" s="1"/>
      <c r="C60" s="1"/>
      <c r="D60" s="1"/>
      <c r="E60" s="1"/>
      <c r="F60" s="1"/>
      <c r="G60" s="1"/>
      <c r="H60" s="1">
        <f t="shared" ref="H60:J60" si="55">G60*12</f>
        <v>0</v>
      </c>
      <c r="I60" s="1">
        <f t="shared" si="55"/>
        <v>0</v>
      </c>
      <c r="J60" s="1">
        <f t="shared" si="55"/>
        <v>0</v>
      </c>
      <c r="K60" s="1"/>
    </row>
    <row r="61" spans="1:11">
      <c r="A61" s="106" t="str">
        <f>IF(E61="","",SUBTOTAL(3,$E$4:E61))</f>
        <v/>
      </c>
      <c r="B61" s="1"/>
      <c r="C61" s="1"/>
      <c r="D61" s="1"/>
      <c r="E61" s="1"/>
      <c r="F61" s="1"/>
      <c r="G61" s="1"/>
      <c r="H61" s="1">
        <f t="shared" ref="H61:J61" si="56">G61*12</f>
        <v>0</v>
      </c>
      <c r="I61" s="1">
        <f t="shared" si="56"/>
        <v>0</v>
      </c>
      <c r="J61" s="1">
        <f t="shared" si="56"/>
        <v>0</v>
      </c>
      <c r="K61" s="1"/>
    </row>
    <row r="62" spans="1:11">
      <c r="A62" s="106" t="str">
        <f>IF(E62="","",SUBTOTAL(3,$E$4:E62))</f>
        <v/>
      </c>
      <c r="B62" s="1"/>
      <c r="C62" s="1"/>
      <c r="D62" s="1"/>
      <c r="E62" s="1"/>
      <c r="F62" s="1"/>
      <c r="G62" s="1"/>
      <c r="H62" s="1">
        <f t="shared" ref="H62:J62" si="57">G62*12</f>
        <v>0</v>
      </c>
      <c r="I62" s="1">
        <f t="shared" si="57"/>
        <v>0</v>
      </c>
      <c r="J62" s="1">
        <f t="shared" si="57"/>
        <v>0</v>
      </c>
      <c r="K62" s="1"/>
    </row>
    <row r="63" spans="1:11">
      <c r="A63" s="106" t="str">
        <f>IF(E63="","",SUBTOTAL(3,$E$4:E63))</f>
        <v/>
      </c>
      <c r="B63" s="1"/>
      <c r="C63" s="1"/>
      <c r="D63" s="1"/>
      <c r="E63" s="1"/>
      <c r="F63" s="1"/>
      <c r="G63" s="1"/>
      <c r="H63" s="1">
        <f t="shared" ref="H63:J63" si="58">G63*12</f>
        <v>0</v>
      </c>
      <c r="I63" s="1">
        <f t="shared" si="58"/>
        <v>0</v>
      </c>
      <c r="J63" s="1">
        <f t="shared" si="58"/>
        <v>0</v>
      </c>
      <c r="K63" s="1"/>
    </row>
    <row r="64" spans="1:11">
      <c r="A64" s="106" t="str">
        <f>IF(E64="","",SUBTOTAL(3,$E$4:E64))</f>
        <v/>
      </c>
      <c r="B64" s="1"/>
      <c r="C64" s="1"/>
      <c r="D64" s="1"/>
      <c r="E64" s="1"/>
      <c r="F64" s="1"/>
      <c r="G64" s="1"/>
      <c r="H64" s="1">
        <f t="shared" ref="H64:J64" si="59">G64*12</f>
        <v>0</v>
      </c>
      <c r="I64" s="1">
        <f t="shared" si="59"/>
        <v>0</v>
      </c>
      <c r="J64" s="1">
        <f t="shared" si="59"/>
        <v>0</v>
      </c>
      <c r="K64" s="1"/>
    </row>
    <row r="65" spans="1:11">
      <c r="A65" s="106" t="str">
        <f>IF(E65="","",SUBTOTAL(3,$E$4:E65))</f>
        <v/>
      </c>
      <c r="B65" s="1"/>
      <c r="C65" s="1"/>
      <c r="D65" s="1"/>
      <c r="E65" s="1"/>
      <c r="F65" s="1"/>
      <c r="G65" s="1"/>
      <c r="H65" s="1">
        <f t="shared" ref="H65:J65" si="60">G65*12</f>
        <v>0</v>
      </c>
      <c r="I65" s="1">
        <f t="shared" si="60"/>
        <v>0</v>
      </c>
      <c r="J65" s="1">
        <f t="shared" si="60"/>
        <v>0</v>
      </c>
      <c r="K65" s="1"/>
    </row>
    <row r="66" spans="1:11">
      <c r="A66" s="106" t="str">
        <f>IF(E66="","",SUBTOTAL(3,$E$4:E66))</f>
        <v/>
      </c>
      <c r="B66" s="1"/>
      <c r="C66" s="1"/>
      <c r="D66" s="1"/>
      <c r="E66" s="1"/>
      <c r="F66" s="1"/>
      <c r="G66" s="1"/>
      <c r="H66" s="1">
        <f t="shared" ref="H66:J66" si="61">G66*12</f>
        <v>0</v>
      </c>
      <c r="I66" s="1">
        <f t="shared" si="61"/>
        <v>0</v>
      </c>
      <c r="J66" s="1">
        <f t="shared" si="61"/>
        <v>0</v>
      </c>
      <c r="K66" s="1"/>
    </row>
    <row r="67" spans="1:11">
      <c r="A67" s="106" t="str">
        <f>IF(E67="","",SUBTOTAL(3,$E$4:E67))</f>
        <v/>
      </c>
      <c r="B67" s="1"/>
      <c r="C67" s="1"/>
      <c r="D67" s="1"/>
      <c r="E67" s="1"/>
      <c r="F67" s="1"/>
      <c r="G67" s="1"/>
      <c r="H67" s="1">
        <f t="shared" ref="H67:J67" si="62">G67*12</f>
        <v>0</v>
      </c>
      <c r="I67" s="1">
        <f t="shared" si="62"/>
        <v>0</v>
      </c>
      <c r="J67" s="1">
        <f t="shared" si="62"/>
        <v>0</v>
      </c>
      <c r="K67" s="1"/>
    </row>
    <row r="68" spans="1:11">
      <c r="A68" s="106" t="str">
        <f>IF(E68="","",SUBTOTAL(3,$E$4:E68))</f>
        <v/>
      </c>
      <c r="B68" s="1"/>
      <c r="C68" s="1"/>
      <c r="D68" s="1"/>
      <c r="E68" s="1"/>
      <c r="F68" s="1"/>
      <c r="G68" s="1"/>
      <c r="H68" s="1">
        <f t="shared" ref="H68:J68" si="63">G68*12</f>
        <v>0</v>
      </c>
      <c r="I68" s="1">
        <f t="shared" si="63"/>
        <v>0</v>
      </c>
      <c r="J68" s="1">
        <f t="shared" si="63"/>
        <v>0</v>
      </c>
      <c r="K68" s="1"/>
    </row>
    <row r="69" spans="1:11">
      <c r="A69" s="106" t="str">
        <f>IF(E69="","",SUBTOTAL(3,$E$4:E69))</f>
        <v/>
      </c>
      <c r="B69" s="1"/>
      <c r="C69" s="1"/>
      <c r="D69" s="1"/>
      <c r="E69" s="1"/>
      <c r="F69" s="1"/>
      <c r="G69" s="1"/>
      <c r="H69" s="1">
        <f t="shared" ref="H69:J69" si="64">G69*12</f>
        <v>0</v>
      </c>
      <c r="I69" s="1">
        <f t="shared" si="64"/>
        <v>0</v>
      </c>
      <c r="J69" s="1">
        <f t="shared" si="64"/>
        <v>0</v>
      </c>
      <c r="K69" s="1"/>
    </row>
    <row r="70" spans="1:11">
      <c r="A70" s="106" t="str">
        <f>IF(E70="","",SUBTOTAL(3,$E$4:E70))</f>
        <v/>
      </c>
      <c r="B70" s="1"/>
      <c r="C70" s="1"/>
      <c r="D70" s="1"/>
      <c r="E70" s="1"/>
      <c r="F70" s="1"/>
      <c r="G70" s="1"/>
      <c r="H70" s="1">
        <f t="shared" ref="H70:J70" si="65">G70*12</f>
        <v>0</v>
      </c>
      <c r="I70" s="1">
        <f t="shared" si="65"/>
        <v>0</v>
      </c>
      <c r="J70" s="1">
        <f t="shared" si="65"/>
        <v>0</v>
      </c>
      <c r="K70" s="1"/>
    </row>
    <row r="71" spans="1:11">
      <c r="A71" s="106" t="str">
        <f>IF(E71="","",SUBTOTAL(3,$E$4:E71))</f>
        <v/>
      </c>
      <c r="B71" s="1"/>
      <c r="C71" s="1"/>
      <c r="D71" s="1"/>
      <c r="E71" s="1"/>
      <c r="F71" s="1"/>
      <c r="G71" s="1"/>
      <c r="H71" s="1">
        <f t="shared" ref="H71:J71" si="66">G71*12</f>
        <v>0</v>
      </c>
      <c r="I71" s="1">
        <f t="shared" si="66"/>
        <v>0</v>
      </c>
      <c r="J71" s="1">
        <f t="shared" si="66"/>
        <v>0</v>
      </c>
      <c r="K71" s="1"/>
    </row>
    <row r="72" spans="1:11">
      <c r="A72" s="106" t="str">
        <f>IF(E72="","",SUBTOTAL(3,$E$4:E72))</f>
        <v/>
      </c>
      <c r="B72" s="1"/>
      <c r="C72" s="1"/>
      <c r="D72" s="1"/>
      <c r="E72" s="1"/>
      <c r="F72" s="1"/>
      <c r="G72" s="1"/>
      <c r="H72" s="1">
        <f t="shared" ref="H72:J72" si="67">G72*12</f>
        <v>0</v>
      </c>
      <c r="I72" s="1">
        <f t="shared" si="67"/>
        <v>0</v>
      </c>
      <c r="J72" s="1">
        <f t="shared" si="67"/>
        <v>0</v>
      </c>
      <c r="K72" s="1"/>
    </row>
    <row r="73" spans="1:11">
      <c r="A73" s="106" t="str">
        <f>IF(E73="","",SUBTOTAL(3,$E$4:E73))</f>
        <v/>
      </c>
      <c r="B73" s="1"/>
      <c r="C73" s="1"/>
      <c r="D73" s="1"/>
      <c r="E73" s="1"/>
      <c r="F73" s="1"/>
      <c r="G73" s="1"/>
      <c r="H73" s="1">
        <f t="shared" ref="H73:J73" si="68">G73*12</f>
        <v>0</v>
      </c>
      <c r="I73" s="1">
        <f t="shared" si="68"/>
        <v>0</v>
      </c>
      <c r="J73" s="1">
        <f t="shared" si="68"/>
        <v>0</v>
      </c>
      <c r="K73" s="1"/>
    </row>
    <row r="74" spans="1:11">
      <c r="A74" s="106" t="str">
        <f>IF(E74="","",SUBTOTAL(3,$E$4:E74))</f>
        <v/>
      </c>
      <c r="B74" s="1"/>
      <c r="C74" s="1"/>
      <c r="D74" s="1"/>
      <c r="E74" s="1"/>
      <c r="F74" s="1"/>
      <c r="G74" s="1"/>
      <c r="H74" s="1">
        <f t="shared" ref="H74:J74" si="69">G74*12</f>
        <v>0</v>
      </c>
      <c r="I74" s="1">
        <f t="shared" si="69"/>
        <v>0</v>
      </c>
      <c r="J74" s="1">
        <f t="shared" si="69"/>
        <v>0</v>
      </c>
      <c r="K7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1E71-650B-4A01-AE51-5D4995F13A32}">
  <dimension ref="B3:H368"/>
  <sheetViews>
    <sheetView topLeftCell="A202" workbookViewId="0">
      <selection activeCell="B216" sqref="B216"/>
    </sheetView>
  </sheetViews>
  <sheetFormatPr defaultRowHeight="15"/>
  <cols>
    <col min="2" max="2" width="13.140625" customWidth="1"/>
    <col min="3" max="3" width="29.7109375" customWidth="1"/>
    <col min="4" max="4" width="21.5703125" customWidth="1"/>
    <col min="5" max="7" width="13.140625" customWidth="1"/>
  </cols>
  <sheetData>
    <row r="3" spans="2:7">
      <c r="B3" s="90" t="s">
        <v>70</v>
      </c>
      <c r="C3" s="90" t="s">
        <v>71</v>
      </c>
      <c r="D3" s="90" t="s">
        <v>50</v>
      </c>
      <c r="E3" s="90" t="s">
        <v>51</v>
      </c>
      <c r="F3" s="90" t="s">
        <v>72</v>
      </c>
      <c r="G3" s="90" t="s">
        <v>53</v>
      </c>
    </row>
    <row r="4" spans="2:7">
      <c r="B4" s="90" t="s">
        <v>284</v>
      </c>
      <c r="C4" s="90" t="s">
        <v>285</v>
      </c>
      <c r="D4" s="90" t="s">
        <v>50</v>
      </c>
      <c r="E4" s="90" t="s">
        <v>96</v>
      </c>
      <c r="F4" s="90" t="s">
        <v>72</v>
      </c>
      <c r="G4" s="90" t="s">
        <v>53</v>
      </c>
    </row>
    <row r="5" spans="2:7">
      <c r="B5" s="90" t="s">
        <v>286</v>
      </c>
      <c r="C5" s="90" t="s">
        <v>287</v>
      </c>
      <c r="D5" s="90" t="s">
        <v>50</v>
      </c>
      <c r="E5" s="90" t="s">
        <v>114</v>
      </c>
      <c r="F5" s="90" t="s">
        <v>72</v>
      </c>
      <c r="G5" s="90" t="s">
        <v>53</v>
      </c>
    </row>
    <row r="6" spans="2:7">
      <c r="B6" s="90" t="s">
        <v>288</v>
      </c>
      <c r="C6" s="90" t="s">
        <v>289</v>
      </c>
      <c r="D6" s="90" t="s">
        <v>50</v>
      </c>
      <c r="E6" s="90" t="s">
        <v>83</v>
      </c>
      <c r="F6" s="90" t="s">
        <v>72</v>
      </c>
      <c r="G6" s="90" t="s">
        <v>53</v>
      </c>
    </row>
    <row r="7" spans="2:7">
      <c r="B7" s="90" t="s">
        <v>264</v>
      </c>
      <c r="C7" s="90" t="s">
        <v>265</v>
      </c>
      <c r="D7" s="90" t="s">
        <v>50</v>
      </c>
      <c r="E7" s="90" t="s">
        <v>150</v>
      </c>
      <c r="F7" s="90" t="s">
        <v>72</v>
      </c>
      <c r="G7" s="90" t="s">
        <v>53</v>
      </c>
    </row>
    <row r="8" spans="2:7">
      <c r="B8" s="90" t="s">
        <v>292</v>
      </c>
      <c r="C8" s="90" t="s">
        <v>293</v>
      </c>
      <c r="D8" s="90" t="s">
        <v>50</v>
      </c>
      <c r="E8" s="90" t="s">
        <v>294</v>
      </c>
      <c r="F8" s="90" t="s">
        <v>72</v>
      </c>
      <c r="G8" s="90" t="s">
        <v>53</v>
      </c>
    </row>
    <row r="9" spans="2:7">
      <c r="B9" s="90" t="s">
        <v>399</v>
      </c>
      <c r="C9" s="90" t="s">
        <v>400</v>
      </c>
      <c r="D9" s="90" t="s">
        <v>50</v>
      </c>
      <c r="E9" s="90" t="s">
        <v>157</v>
      </c>
      <c r="F9" s="90" t="s">
        <v>72</v>
      </c>
      <c r="G9" s="90" t="s">
        <v>53</v>
      </c>
    </row>
    <row r="10" spans="2:7">
      <c r="B10" s="90" t="s">
        <v>425</v>
      </c>
      <c r="C10" s="90" t="s">
        <v>426</v>
      </c>
      <c r="D10" s="90" t="s">
        <v>50</v>
      </c>
      <c r="E10" s="90" t="s">
        <v>160</v>
      </c>
      <c r="F10" s="90" t="s">
        <v>72</v>
      </c>
      <c r="G10" s="90" t="s">
        <v>53</v>
      </c>
    </row>
    <row r="11" spans="2:7">
      <c r="B11" s="90" t="s">
        <v>290</v>
      </c>
      <c r="C11" s="90" t="s">
        <v>291</v>
      </c>
      <c r="D11" s="90" t="s">
        <v>50</v>
      </c>
      <c r="E11" s="90" t="s">
        <v>111</v>
      </c>
      <c r="F11" s="90" t="s">
        <v>72</v>
      </c>
      <c r="G11" s="90" t="s">
        <v>53</v>
      </c>
    </row>
    <row r="12" spans="2:7">
      <c r="B12" s="90" t="s">
        <v>295</v>
      </c>
      <c r="C12" s="90" t="s">
        <v>296</v>
      </c>
      <c r="D12" s="90" t="s">
        <v>50</v>
      </c>
      <c r="E12" s="90" t="s">
        <v>111</v>
      </c>
      <c r="F12" s="90" t="s">
        <v>72</v>
      </c>
      <c r="G12" s="90" t="s">
        <v>53</v>
      </c>
    </row>
    <row r="13" spans="2:7">
      <c r="B13" s="90" t="s">
        <v>297</v>
      </c>
      <c r="C13" s="90" t="s">
        <v>298</v>
      </c>
      <c r="D13" s="90" t="s">
        <v>50</v>
      </c>
      <c r="E13" s="90" t="s">
        <v>111</v>
      </c>
      <c r="F13" s="90" t="s">
        <v>72</v>
      </c>
      <c r="G13" s="90" t="s">
        <v>53</v>
      </c>
    </row>
    <row r="14" spans="2:7">
      <c r="B14" s="90" t="s">
        <v>299</v>
      </c>
      <c r="C14" s="90" t="s">
        <v>300</v>
      </c>
      <c r="D14" s="90" t="s">
        <v>50</v>
      </c>
      <c r="E14" s="90" t="s">
        <v>111</v>
      </c>
      <c r="F14" s="90" t="s">
        <v>72</v>
      </c>
      <c r="G14" s="90" t="s">
        <v>53</v>
      </c>
    </row>
    <row r="15" spans="2:7">
      <c r="B15" s="90" t="s">
        <v>301</v>
      </c>
      <c r="C15" s="90" t="s">
        <v>302</v>
      </c>
      <c r="D15" s="90" t="s">
        <v>50</v>
      </c>
      <c r="E15" s="90" t="s">
        <v>111</v>
      </c>
      <c r="F15" s="90" t="s">
        <v>72</v>
      </c>
      <c r="G15" s="90" t="s">
        <v>53</v>
      </c>
    </row>
    <row r="16" spans="2:7">
      <c r="B16" s="90" t="s">
        <v>303</v>
      </c>
      <c r="C16" s="90" t="s">
        <v>304</v>
      </c>
      <c r="D16" s="90" t="s">
        <v>50</v>
      </c>
      <c r="E16" s="90" t="s">
        <v>111</v>
      </c>
      <c r="F16" s="90" t="s">
        <v>72</v>
      </c>
      <c r="G16" s="90" t="s">
        <v>53</v>
      </c>
    </row>
    <row r="17" spans="2:7">
      <c r="B17" s="90" t="s">
        <v>66</v>
      </c>
      <c r="C17" s="90" t="s">
        <v>67</v>
      </c>
      <c r="D17" s="90" t="s">
        <v>68</v>
      </c>
      <c r="E17" s="90" t="s">
        <v>51</v>
      </c>
      <c r="F17" s="90" t="s">
        <v>69</v>
      </c>
      <c r="G17" s="90" t="s">
        <v>53</v>
      </c>
    </row>
    <row r="18" spans="2:7">
      <c r="B18" s="90" t="s">
        <v>76</v>
      </c>
      <c r="C18" s="90" t="s">
        <v>77</v>
      </c>
      <c r="D18" s="90" t="s">
        <v>68</v>
      </c>
      <c r="E18" s="90" t="s">
        <v>51</v>
      </c>
      <c r="F18" s="90" t="s">
        <v>69</v>
      </c>
      <c r="G18" s="90" t="s">
        <v>53</v>
      </c>
    </row>
    <row r="19" spans="2:7">
      <c r="B19" s="90" t="s">
        <v>78</v>
      </c>
      <c r="C19" s="90" t="s">
        <v>79</v>
      </c>
      <c r="D19" s="90" t="s">
        <v>68</v>
      </c>
      <c r="E19" s="90" t="s">
        <v>51</v>
      </c>
      <c r="F19" s="90" t="s">
        <v>69</v>
      </c>
      <c r="G19" s="90" t="s">
        <v>53</v>
      </c>
    </row>
    <row r="20" spans="2:7">
      <c r="B20" s="90" t="s">
        <v>94</v>
      </c>
      <c r="C20" s="90" t="s">
        <v>95</v>
      </c>
      <c r="D20" s="90" t="s">
        <v>68</v>
      </c>
      <c r="E20" s="90" t="s">
        <v>96</v>
      </c>
      <c r="F20" s="90" t="s">
        <v>69</v>
      </c>
      <c r="G20" s="90" t="s">
        <v>53</v>
      </c>
    </row>
    <row r="21" spans="2:7">
      <c r="B21" s="90" t="s">
        <v>97</v>
      </c>
      <c r="C21" s="90" t="s">
        <v>98</v>
      </c>
      <c r="D21" s="90" t="s">
        <v>68</v>
      </c>
      <c r="E21" s="90" t="s">
        <v>96</v>
      </c>
      <c r="F21" s="90" t="s">
        <v>69</v>
      </c>
      <c r="G21" s="90" t="s">
        <v>53</v>
      </c>
    </row>
    <row r="22" spans="2:7">
      <c r="B22" s="90" t="s">
        <v>99</v>
      </c>
      <c r="C22" s="90" t="s">
        <v>100</v>
      </c>
      <c r="D22" s="90" t="s">
        <v>68</v>
      </c>
      <c r="E22" s="90" t="s">
        <v>96</v>
      </c>
      <c r="F22" s="90" t="s">
        <v>69</v>
      </c>
      <c r="G22" s="90" t="s">
        <v>53</v>
      </c>
    </row>
    <row r="23" spans="2:7">
      <c r="B23" s="90" t="s">
        <v>101</v>
      </c>
      <c r="C23" s="90" t="s">
        <v>102</v>
      </c>
      <c r="D23" s="90" t="s">
        <v>68</v>
      </c>
      <c r="E23" s="90" t="s">
        <v>96</v>
      </c>
      <c r="F23" s="90" t="s">
        <v>69</v>
      </c>
      <c r="G23" s="90" t="s">
        <v>53</v>
      </c>
    </row>
    <row r="24" spans="2:7">
      <c r="B24" s="90" t="s">
        <v>103</v>
      </c>
      <c r="C24" s="90" t="s">
        <v>104</v>
      </c>
      <c r="D24" s="90" t="s">
        <v>68</v>
      </c>
      <c r="E24" s="90" t="s">
        <v>96</v>
      </c>
      <c r="F24" s="90" t="s">
        <v>69</v>
      </c>
      <c r="G24" s="90" t="s">
        <v>53</v>
      </c>
    </row>
    <row r="25" spans="2:7">
      <c r="B25" s="90" t="s">
        <v>105</v>
      </c>
      <c r="C25" s="90" t="s">
        <v>106</v>
      </c>
      <c r="D25" s="90" t="s">
        <v>68</v>
      </c>
      <c r="E25" s="90" t="s">
        <v>96</v>
      </c>
      <c r="F25" s="90" t="s">
        <v>69</v>
      </c>
      <c r="G25" s="90" t="s">
        <v>53</v>
      </c>
    </row>
    <row r="26" spans="2:7">
      <c r="B26" s="90" t="s">
        <v>107</v>
      </c>
      <c r="C26" s="90" t="s">
        <v>108</v>
      </c>
      <c r="D26" s="90" t="s">
        <v>68</v>
      </c>
      <c r="E26" s="90" t="s">
        <v>96</v>
      </c>
      <c r="F26" s="90" t="s">
        <v>69</v>
      </c>
      <c r="G26" s="90" t="s">
        <v>53</v>
      </c>
    </row>
    <row r="27" spans="2:7">
      <c r="B27" s="90" t="s">
        <v>112</v>
      </c>
      <c r="C27" s="90" t="s">
        <v>113</v>
      </c>
      <c r="D27" s="90" t="s">
        <v>68</v>
      </c>
      <c r="E27" s="90" t="s">
        <v>114</v>
      </c>
      <c r="F27" s="90" t="s">
        <v>69</v>
      </c>
      <c r="G27" s="90" t="s">
        <v>53</v>
      </c>
    </row>
    <row r="28" spans="2:7">
      <c r="B28" s="90" t="s">
        <v>115</v>
      </c>
      <c r="C28" s="90" t="s">
        <v>116</v>
      </c>
      <c r="D28" s="90" t="s">
        <v>68</v>
      </c>
      <c r="E28" s="90" t="s">
        <v>114</v>
      </c>
      <c r="F28" s="90" t="s">
        <v>69</v>
      </c>
      <c r="G28" s="90" t="s">
        <v>53</v>
      </c>
    </row>
    <row r="29" spans="2:7">
      <c r="B29" s="90" t="s">
        <v>117</v>
      </c>
      <c r="C29" s="90" t="s">
        <v>118</v>
      </c>
      <c r="D29" s="90" t="s">
        <v>68</v>
      </c>
      <c r="E29" s="90" t="s">
        <v>114</v>
      </c>
      <c r="F29" s="90" t="s">
        <v>69</v>
      </c>
      <c r="G29" s="90" t="s">
        <v>53</v>
      </c>
    </row>
    <row r="30" spans="2:7">
      <c r="B30" s="90" t="s">
        <v>137</v>
      </c>
      <c r="C30" s="90" t="s">
        <v>138</v>
      </c>
      <c r="D30" s="90" t="s">
        <v>68</v>
      </c>
      <c r="E30" s="90" t="s">
        <v>114</v>
      </c>
      <c r="F30" s="90" t="s">
        <v>69</v>
      </c>
      <c r="G30" s="90" t="s">
        <v>53</v>
      </c>
    </row>
    <row r="31" spans="2:7">
      <c r="B31" s="90" t="s">
        <v>139</v>
      </c>
      <c r="C31" s="90" t="s">
        <v>140</v>
      </c>
      <c r="D31" s="90" t="s">
        <v>68</v>
      </c>
      <c r="E31" s="90" t="s">
        <v>114</v>
      </c>
      <c r="F31" s="90" t="s">
        <v>69</v>
      </c>
      <c r="G31" s="90" t="s">
        <v>53</v>
      </c>
    </row>
    <row r="32" spans="2:7">
      <c r="B32" s="90" t="s">
        <v>141</v>
      </c>
      <c r="C32" s="90" t="s">
        <v>142</v>
      </c>
      <c r="D32" s="90" t="s">
        <v>68</v>
      </c>
      <c r="E32" s="90" t="s">
        <v>114</v>
      </c>
      <c r="F32" s="90" t="s">
        <v>69</v>
      </c>
      <c r="G32" s="90" t="s">
        <v>53</v>
      </c>
    </row>
    <row r="33" spans="2:7">
      <c r="B33" s="108" t="s">
        <v>184</v>
      </c>
      <c r="C33" s="108" t="s">
        <v>185</v>
      </c>
      <c r="D33" s="108" t="s">
        <v>68</v>
      </c>
      <c r="E33" s="108" t="s">
        <v>83</v>
      </c>
      <c r="F33" s="108" t="s">
        <v>69</v>
      </c>
      <c r="G33" s="108" t="s">
        <v>53</v>
      </c>
    </row>
    <row r="34" spans="2:7">
      <c r="B34" s="108" t="s">
        <v>218</v>
      </c>
      <c r="C34" s="108" t="s">
        <v>219</v>
      </c>
      <c r="D34" s="108" t="s">
        <v>68</v>
      </c>
      <c r="E34" s="108" t="s">
        <v>83</v>
      </c>
      <c r="F34" s="108" t="s">
        <v>69</v>
      </c>
      <c r="G34" s="108" t="s">
        <v>53</v>
      </c>
    </row>
    <row r="35" spans="2:7">
      <c r="B35" s="108" t="s">
        <v>220</v>
      </c>
      <c r="C35" s="108" t="s">
        <v>221</v>
      </c>
      <c r="D35" s="108" t="s">
        <v>68</v>
      </c>
      <c r="E35" s="108" t="s">
        <v>83</v>
      </c>
      <c r="F35" s="108" t="s">
        <v>69</v>
      </c>
      <c r="G35" s="108" t="s">
        <v>53</v>
      </c>
    </row>
    <row r="36" spans="2:7">
      <c r="B36" s="108" t="s">
        <v>222</v>
      </c>
      <c r="C36" s="108" t="s">
        <v>223</v>
      </c>
      <c r="D36" s="108" t="s">
        <v>68</v>
      </c>
      <c r="E36" s="108" t="s">
        <v>83</v>
      </c>
      <c r="F36" s="108" t="s">
        <v>69</v>
      </c>
      <c r="G36" s="108" t="s">
        <v>53</v>
      </c>
    </row>
    <row r="37" spans="2:7">
      <c r="B37" s="108" t="s">
        <v>224</v>
      </c>
      <c r="C37" s="108" t="s">
        <v>225</v>
      </c>
      <c r="D37" s="108" t="s">
        <v>68</v>
      </c>
      <c r="E37" s="108" t="s">
        <v>83</v>
      </c>
      <c r="F37" s="108" t="s">
        <v>69</v>
      </c>
      <c r="G37" s="108" t="s">
        <v>53</v>
      </c>
    </row>
    <row r="38" spans="2:7">
      <c r="B38" s="108" t="s">
        <v>226</v>
      </c>
      <c r="C38" s="108" t="s">
        <v>227</v>
      </c>
      <c r="D38" s="108" t="s">
        <v>68</v>
      </c>
      <c r="E38" s="108" t="s">
        <v>83</v>
      </c>
      <c r="F38" s="108" t="s">
        <v>69</v>
      </c>
      <c r="G38" s="108" t="s">
        <v>53</v>
      </c>
    </row>
    <row r="39" spans="2:7">
      <c r="B39" s="108" t="s">
        <v>228</v>
      </c>
      <c r="C39" s="108" t="s">
        <v>229</v>
      </c>
      <c r="D39" s="108" t="s">
        <v>68</v>
      </c>
      <c r="E39" s="108" t="s">
        <v>83</v>
      </c>
      <c r="F39" s="108" t="s">
        <v>69</v>
      </c>
      <c r="G39" s="108" t="s">
        <v>53</v>
      </c>
    </row>
    <row r="40" spans="2:7">
      <c r="B40" s="108" t="s">
        <v>230</v>
      </c>
      <c r="C40" s="108" t="s">
        <v>231</v>
      </c>
      <c r="D40" s="108" t="s">
        <v>68</v>
      </c>
      <c r="E40" s="108" t="s">
        <v>83</v>
      </c>
      <c r="F40" s="108" t="s">
        <v>69</v>
      </c>
      <c r="G40" s="108" t="s">
        <v>53</v>
      </c>
    </row>
    <row r="41" spans="2:7">
      <c r="B41" s="108" t="s">
        <v>232</v>
      </c>
      <c r="C41" s="108" t="s">
        <v>233</v>
      </c>
      <c r="D41" s="108" t="s">
        <v>68</v>
      </c>
      <c r="E41" s="108" t="s">
        <v>83</v>
      </c>
      <c r="F41" s="108" t="s">
        <v>69</v>
      </c>
      <c r="G41" s="108" t="s">
        <v>53</v>
      </c>
    </row>
    <row r="42" spans="2:7">
      <c r="B42" s="108" t="s">
        <v>234</v>
      </c>
      <c r="C42" s="108" t="s">
        <v>235</v>
      </c>
      <c r="D42" s="108" t="s">
        <v>68</v>
      </c>
      <c r="E42" s="108" t="s">
        <v>83</v>
      </c>
      <c r="F42" s="108" t="s">
        <v>69</v>
      </c>
      <c r="G42" s="108" t="s">
        <v>53</v>
      </c>
    </row>
    <row r="43" spans="2:7">
      <c r="B43" s="108" t="s">
        <v>236</v>
      </c>
      <c r="C43" s="108" t="s">
        <v>237</v>
      </c>
      <c r="D43" s="108" t="s">
        <v>68</v>
      </c>
      <c r="E43" s="108" t="s">
        <v>83</v>
      </c>
      <c r="F43" s="108" t="s">
        <v>69</v>
      </c>
      <c r="G43" s="108" t="s">
        <v>53</v>
      </c>
    </row>
    <row r="44" spans="2:7">
      <c r="B44" s="90" t="s">
        <v>257</v>
      </c>
      <c r="C44" s="90" t="s">
        <v>258</v>
      </c>
      <c r="D44" s="90" t="s">
        <v>68</v>
      </c>
      <c r="E44" s="90" t="s">
        <v>150</v>
      </c>
      <c r="F44" s="90" t="s">
        <v>69</v>
      </c>
      <c r="G44" s="90" t="s">
        <v>53</v>
      </c>
    </row>
    <row r="45" spans="2:7">
      <c r="B45" s="90" t="s">
        <v>266</v>
      </c>
      <c r="C45" s="90" t="s">
        <v>267</v>
      </c>
      <c r="D45" s="90" t="s">
        <v>68</v>
      </c>
      <c r="E45" s="90" t="s">
        <v>150</v>
      </c>
      <c r="F45" s="90" t="s">
        <v>69</v>
      </c>
      <c r="G45" s="90" t="s">
        <v>53</v>
      </c>
    </row>
    <row r="46" spans="2:7">
      <c r="B46" s="90" t="s">
        <v>272</v>
      </c>
      <c r="C46" s="90" t="s">
        <v>273</v>
      </c>
      <c r="D46" s="90" t="s">
        <v>68</v>
      </c>
      <c r="E46" s="90" t="s">
        <v>150</v>
      </c>
      <c r="F46" s="90" t="s">
        <v>69</v>
      </c>
      <c r="G46" s="90" t="s">
        <v>53</v>
      </c>
    </row>
    <row r="47" spans="2:7">
      <c r="B47" s="90" t="s">
        <v>278</v>
      </c>
      <c r="C47" s="90" t="s">
        <v>279</v>
      </c>
      <c r="D47" s="90" t="s">
        <v>68</v>
      </c>
      <c r="E47" s="90" t="s">
        <v>150</v>
      </c>
      <c r="F47" s="90" t="s">
        <v>69</v>
      </c>
      <c r="G47" s="90" t="s">
        <v>53</v>
      </c>
    </row>
    <row r="48" spans="2:7">
      <c r="B48" s="90" t="s">
        <v>305</v>
      </c>
      <c r="C48" s="90" t="s">
        <v>86</v>
      </c>
      <c r="D48" s="90" t="s">
        <v>82</v>
      </c>
      <c r="E48" s="90" t="s">
        <v>87</v>
      </c>
      <c r="F48" s="90" t="s">
        <v>69</v>
      </c>
      <c r="G48" s="90" t="s">
        <v>53</v>
      </c>
    </row>
    <row r="49" spans="2:7">
      <c r="B49" s="90" t="s">
        <v>307</v>
      </c>
      <c r="C49" s="90" t="s">
        <v>152</v>
      </c>
      <c r="D49" s="90" t="s">
        <v>68</v>
      </c>
      <c r="E49" s="90" t="s">
        <v>87</v>
      </c>
      <c r="F49" s="90" t="s">
        <v>69</v>
      </c>
      <c r="G49" s="90" t="s">
        <v>53</v>
      </c>
    </row>
    <row r="50" spans="2:7">
      <c r="B50" s="90" t="s">
        <v>309</v>
      </c>
      <c r="C50" s="90" t="s">
        <v>173</v>
      </c>
      <c r="D50" s="90" t="s">
        <v>68</v>
      </c>
      <c r="E50" s="90" t="s">
        <v>87</v>
      </c>
      <c r="F50" s="90" t="s">
        <v>69</v>
      </c>
      <c r="G50" s="90" t="s">
        <v>53</v>
      </c>
    </row>
    <row r="51" spans="2:7">
      <c r="B51" s="90" t="s">
        <v>311</v>
      </c>
      <c r="C51" s="90" t="s">
        <v>312</v>
      </c>
      <c r="D51" s="90" t="s">
        <v>68</v>
      </c>
      <c r="E51" s="90" t="s">
        <v>87</v>
      </c>
      <c r="F51" s="90" t="s">
        <v>69</v>
      </c>
      <c r="G51" s="90" t="s">
        <v>53</v>
      </c>
    </row>
    <row r="52" spans="2:7">
      <c r="B52" s="90" t="s">
        <v>314</v>
      </c>
      <c r="C52" s="90" t="s">
        <v>315</v>
      </c>
      <c r="D52" s="90" t="s">
        <v>68</v>
      </c>
      <c r="E52" s="90" t="s">
        <v>87</v>
      </c>
      <c r="F52" s="90" t="s">
        <v>69</v>
      </c>
      <c r="G52" s="90" t="s">
        <v>53</v>
      </c>
    </row>
    <row r="53" spans="2:7">
      <c r="B53" s="90" t="s">
        <v>317</v>
      </c>
      <c r="C53" s="90" t="s">
        <v>318</v>
      </c>
      <c r="D53" s="90" t="s">
        <v>68</v>
      </c>
      <c r="E53" s="90" t="s">
        <v>87</v>
      </c>
      <c r="F53" s="90" t="s">
        <v>69</v>
      </c>
      <c r="G53" s="90" t="s">
        <v>53</v>
      </c>
    </row>
    <row r="54" spans="2:7">
      <c r="B54" s="90" t="s">
        <v>320</v>
      </c>
      <c r="C54" s="90" t="s">
        <v>321</v>
      </c>
      <c r="D54" s="90" t="s">
        <v>68</v>
      </c>
      <c r="E54" s="90" t="s">
        <v>87</v>
      </c>
      <c r="F54" s="90" t="s">
        <v>69</v>
      </c>
      <c r="G54" s="90" t="s">
        <v>53</v>
      </c>
    </row>
    <row r="55" spans="2:7">
      <c r="B55" s="90" t="s">
        <v>323</v>
      </c>
      <c r="C55" s="90" t="s">
        <v>324</v>
      </c>
      <c r="D55" s="90" t="s">
        <v>68</v>
      </c>
      <c r="E55" s="90" t="s">
        <v>87</v>
      </c>
      <c r="F55" s="90" t="s">
        <v>69</v>
      </c>
      <c r="G55" s="90" t="s">
        <v>53</v>
      </c>
    </row>
    <row r="56" spans="2:7">
      <c r="B56" s="90" t="s">
        <v>326</v>
      </c>
      <c r="C56" s="90" t="s">
        <v>327</v>
      </c>
      <c r="D56" s="90" t="s">
        <v>68</v>
      </c>
      <c r="E56" s="90" t="s">
        <v>87</v>
      </c>
      <c r="F56" s="90" t="s">
        <v>69</v>
      </c>
      <c r="G56" s="90" t="s">
        <v>53</v>
      </c>
    </row>
    <row r="57" spans="2:7">
      <c r="B57" s="90" t="s">
        <v>329</v>
      </c>
      <c r="C57" s="90" t="s">
        <v>330</v>
      </c>
      <c r="D57" s="90" t="s">
        <v>68</v>
      </c>
      <c r="E57" s="90" t="s">
        <v>87</v>
      </c>
      <c r="F57" s="90" t="s">
        <v>69</v>
      </c>
      <c r="G57" s="90" t="s">
        <v>53</v>
      </c>
    </row>
    <row r="58" spans="2:7">
      <c r="B58" s="90" t="s">
        <v>332</v>
      </c>
      <c r="C58" s="90" t="s">
        <v>333</v>
      </c>
      <c r="D58" s="90" t="s">
        <v>68</v>
      </c>
      <c r="E58" s="90" t="s">
        <v>87</v>
      </c>
      <c r="F58" s="90" t="s">
        <v>69</v>
      </c>
      <c r="G58" s="90" t="s">
        <v>53</v>
      </c>
    </row>
    <row r="59" spans="2:7">
      <c r="B59" s="90" t="s">
        <v>335</v>
      </c>
      <c r="C59" s="90" t="s">
        <v>336</v>
      </c>
      <c r="D59" s="90" t="s">
        <v>68</v>
      </c>
      <c r="E59" s="90" t="s">
        <v>87</v>
      </c>
      <c r="F59" s="90" t="s">
        <v>69</v>
      </c>
      <c r="G59" s="90" t="s">
        <v>53</v>
      </c>
    </row>
    <row r="60" spans="2:7">
      <c r="B60" s="90" t="s">
        <v>394</v>
      </c>
      <c r="C60" s="90" t="s">
        <v>156</v>
      </c>
      <c r="D60" s="90" t="s">
        <v>68</v>
      </c>
      <c r="E60" s="90" t="s">
        <v>157</v>
      </c>
      <c r="F60" s="90" t="s">
        <v>69</v>
      </c>
      <c r="G60" s="90" t="s">
        <v>53</v>
      </c>
    </row>
    <row r="61" spans="2:7">
      <c r="B61" s="90" t="s">
        <v>395</v>
      </c>
      <c r="C61" s="90" t="s">
        <v>177</v>
      </c>
      <c r="D61" s="90" t="s">
        <v>68</v>
      </c>
      <c r="E61" s="90" t="s">
        <v>157</v>
      </c>
      <c r="F61" s="90" t="s">
        <v>69</v>
      </c>
      <c r="G61" s="90" t="s">
        <v>53</v>
      </c>
    </row>
    <row r="62" spans="2:7">
      <c r="B62" s="90" t="s">
        <v>396</v>
      </c>
      <c r="C62" s="90" t="s">
        <v>382</v>
      </c>
      <c r="D62" s="90" t="s">
        <v>68</v>
      </c>
      <c r="E62" s="90" t="s">
        <v>157</v>
      </c>
      <c r="F62" s="90" t="s">
        <v>69</v>
      </c>
      <c r="G62" s="90" t="s">
        <v>53</v>
      </c>
    </row>
    <row r="63" spans="2:7">
      <c r="B63" s="90" t="s">
        <v>403</v>
      </c>
      <c r="C63" s="90" t="s">
        <v>404</v>
      </c>
      <c r="D63" s="90" t="s">
        <v>68</v>
      </c>
      <c r="E63" s="90" t="s">
        <v>157</v>
      </c>
      <c r="F63" s="90" t="s">
        <v>69</v>
      </c>
      <c r="G63" s="90" t="s">
        <v>53</v>
      </c>
    </row>
    <row r="64" spans="2:7">
      <c r="B64" s="90" t="s">
        <v>405</v>
      </c>
      <c r="C64" s="90" t="s">
        <v>406</v>
      </c>
      <c r="D64" s="90" t="s">
        <v>68</v>
      </c>
      <c r="E64" s="90" t="s">
        <v>157</v>
      </c>
      <c r="F64" s="90" t="s">
        <v>69</v>
      </c>
      <c r="G64" s="90" t="s">
        <v>53</v>
      </c>
    </row>
    <row r="65" spans="2:7">
      <c r="B65" s="90" t="s">
        <v>407</v>
      </c>
      <c r="C65" s="90" t="s">
        <v>408</v>
      </c>
      <c r="D65" s="90" t="s">
        <v>68</v>
      </c>
      <c r="E65" s="90" t="s">
        <v>157</v>
      </c>
      <c r="F65" s="90" t="s">
        <v>69</v>
      </c>
      <c r="G65" s="90" t="s">
        <v>53</v>
      </c>
    </row>
    <row r="66" spans="2:7">
      <c r="B66" s="90" t="s">
        <v>409</v>
      </c>
      <c r="C66" s="90" t="s">
        <v>410</v>
      </c>
      <c r="D66" s="90" t="s">
        <v>68</v>
      </c>
      <c r="E66" s="90" t="s">
        <v>157</v>
      </c>
      <c r="F66" s="90" t="s">
        <v>69</v>
      </c>
      <c r="G66" s="90" t="s">
        <v>53</v>
      </c>
    </row>
    <row r="67" spans="2:7">
      <c r="B67" s="90" t="s">
        <v>419</v>
      </c>
      <c r="C67" s="90" t="s">
        <v>420</v>
      </c>
      <c r="D67" s="90" t="s">
        <v>68</v>
      </c>
      <c r="E67" s="90" t="s">
        <v>160</v>
      </c>
      <c r="F67" s="90" t="s">
        <v>69</v>
      </c>
      <c r="G67" s="90" t="s">
        <v>53</v>
      </c>
    </row>
    <row r="68" spans="2:7">
      <c r="B68" s="90" t="s">
        <v>421</v>
      </c>
      <c r="C68" s="90" t="s">
        <v>422</v>
      </c>
      <c r="D68" s="90" t="s">
        <v>68</v>
      </c>
      <c r="E68" s="90" t="s">
        <v>160</v>
      </c>
      <c r="F68" s="90" t="s">
        <v>69</v>
      </c>
      <c r="G68" s="90" t="s">
        <v>53</v>
      </c>
    </row>
    <row r="69" spans="2:7">
      <c r="B69" s="90" t="s">
        <v>437</v>
      </c>
      <c r="C69" s="90" t="s">
        <v>438</v>
      </c>
      <c r="D69" s="90" t="s">
        <v>68</v>
      </c>
      <c r="E69" s="90" t="s">
        <v>160</v>
      </c>
      <c r="F69" s="90" t="s">
        <v>69</v>
      </c>
      <c r="G69" s="90" t="s">
        <v>53</v>
      </c>
    </row>
    <row r="70" spans="2:7">
      <c r="B70" s="90" t="s">
        <v>439</v>
      </c>
      <c r="C70" s="90" t="s">
        <v>440</v>
      </c>
      <c r="D70" s="90" t="s">
        <v>68</v>
      </c>
      <c r="E70" s="90" t="s">
        <v>160</v>
      </c>
      <c r="F70" s="90" t="s">
        <v>69</v>
      </c>
      <c r="G70" s="90" t="s">
        <v>53</v>
      </c>
    </row>
    <row r="71" spans="2:7">
      <c r="B71" s="90" t="s">
        <v>441</v>
      </c>
      <c r="C71" s="90" t="s">
        <v>442</v>
      </c>
      <c r="D71" s="90" t="s">
        <v>68</v>
      </c>
      <c r="E71" s="90" t="s">
        <v>160</v>
      </c>
      <c r="F71" s="90" t="s">
        <v>69</v>
      </c>
      <c r="G71" s="90" t="s">
        <v>53</v>
      </c>
    </row>
    <row r="72" spans="2:7">
      <c r="B72" s="90" t="s">
        <v>443</v>
      </c>
      <c r="C72" s="90" t="s">
        <v>444</v>
      </c>
      <c r="D72" s="90" t="s">
        <v>68</v>
      </c>
      <c r="E72" s="90" t="s">
        <v>160</v>
      </c>
      <c r="F72" s="90" t="s">
        <v>69</v>
      </c>
      <c r="G72" s="90" t="s">
        <v>53</v>
      </c>
    </row>
    <row r="73" spans="2:7">
      <c r="B73" s="90" t="s">
        <v>536</v>
      </c>
      <c r="C73" s="90" t="s">
        <v>537</v>
      </c>
      <c r="D73" s="90" t="s">
        <v>68</v>
      </c>
      <c r="E73" s="90" t="s">
        <v>538</v>
      </c>
      <c r="F73" s="90" t="s">
        <v>69</v>
      </c>
      <c r="G73" s="90" t="s">
        <v>53</v>
      </c>
    </row>
    <row r="74" spans="2:7">
      <c r="B74" s="90" t="s">
        <v>539</v>
      </c>
      <c r="C74" s="90" t="s">
        <v>540</v>
      </c>
      <c r="D74" s="90" t="s">
        <v>68</v>
      </c>
      <c r="E74" s="90" t="s">
        <v>538</v>
      </c>
      <c r="F74" s="90" t="s">
        <v>69</v>
      </c>
      <c r="G74" s="90" t="s">
        <v>53</v>
      </c>
    </row>
    <row r="75" spans="2:7">
      <c r="B75" s="90" t="s">
        <v>549</v>
      </c>
      <c r="C75" s="90" t="s">
        <v>550</v>
      </c>
      <c r="D75" s="90" t="s">
        <v>68</v>
      </c>
      <c r="E75" s="90" t="s">
        <v>538</v>
      </c>
      <c r="F75" s="90" t="s">
        <v>69</v>
      </c>
      <c r="G75" s="90" t="s">
        <v>53</v>
      </c>
    </row>
    <row r="76" spans="2:7">
      <c r="B76" s="90" t="s">
        <v>552</v>
      </c>
      <c r="C76" s="90" t="s">
        <v>553</v>
      </c>
      <c r="D76" s="90" t="s">
        <v>68</v>
      </c>
      <c r="E76" s="90" t="s">
        <v>538</v>
      </c>
      <c r="F76" s="90" t="s">
        <v>69</v>
      </c>
      <c r="G76" s="90" t="s">
        <v>53</v>
      </c>
    </row>
    <row r="77" spans="2:7">
      <c r="B77" s="90" t="s">
        <v>554</v>
      </c>
      <c r="C77" s="90" t="s">
        <v>555</v>
      </c>
      <c r="D77" s="90" t="s">
        <v>68</v>
      </c>
      <c r="E77" s="90" t="s">
        <v>538</v>
      </c>
      <c r="F77" s="90" t="s">
        <v>69</v>
      </c>
      <c r="G77" s="90" t="s">
        <v>53</v>
      </c>
    </row>
    <row r="78" spans="2:7">
      <c r="B78" s="90" t="s">
        <v>556</v>
      </c>
      <c r="C78" s="90" t="s">
        <v>557</v>
      </c>
      <c r="D78" s="90" t="s">
        <v>68</v>
      </c>
      <c r="E78" s="90" t="s">
        <v>538</v>
      </c>
      <c r="F78" s="90" t="s">
        <v>69</v>
      </c>
      <c r="G78" s="90" t="s">
        <v>53</v>
      </c>
    </row>
    <row r="79" spans="2:7">
      <c r="B79" s="90" t="s">
        <v>558</v>
      </c>
      <c r="C79" s="90" t="s">
        <v>559</v>
      </c>
      <c r="D79" s="90" t="s">
        <v>68</v>
      </c>
      <c r="E79" s="90" t="s">
        <v>538</v>
      </c>
      <c r="F79" s="90" t="s">
        <v>69</v>
      </c>
      <c r="G79" s="90" t="s">
        <v>53</v>
      </c>
    </row>
    <row r="80" spans="2:7">
      <c r="B80" s="90" t="s">
        <v>507</v>
      </c>
      <c r="C80" s="90" t="s">
        <v>92</v>
      </c>
      <c r="D80" s="90" t="s">
        <v>68</v>
      </c>
      <c r="E80" s="90" t="s">
        <v>93</v>
      </c>
      <c r="F80" s="90" t="s">
        <v>69</v>
      </c>
      <c r="G80" s="90" t="s">
        <v>53</v>
      </c>
    </row>
    <row r="81" spans="2:7">
      <c r="B81" s="90" t="s">
        <v>509</v>
      </c>
      <c r="C81" s="90" t="s">
        <v>162</v>
      </c>
      <c r="D81" s="90" t="s">
        <v>68</v>
      </c>
      <c r="E81" s="90" t="s">
        <v>93</v>
      </c>
      <c r="F81" s="90" t="s">
        <v>69</v>
      </c>
      <c r="G81" s="90" t="s">
        <v>53</v>
      </c>
    </row>
    <row r="82" spans="2:7">
      <c r="B82" s="90" t="s">
        <v>511</v>
      </c>
      <c r="C82" s="90" t="s">
        <v>181</v>
      </c>
      <c r="D82" s="90" t="s">
        <v>68</v>
      </c>
      <c r="E82" s="90" t="s">
        <v>93</v>
      </c>
      <c r="F82" s="90" t="s">
        <v>69</v>
      </c>
      <c r="G82" s="90" t="s">
        <v>53</v>
      </c>
    </row>
    <row r="83" spans="2:7">
      <c r="B83" s="90" t="s">
        <v>513</v>
      </c>
      <c r="C83" s="90" t="s">
        <v>247</v>
      </c>
      <c r="D83" s="90" t="s">
        <v>68</v>
      </c>
      <c r="E83" s="90" t="s">
        <v>93</v>
      </c>
      <c r="F83" s="90" t="s">
        <v>69</v>
      </c>
      <c r="G83" s="90" t="s">
        <v>53</v>
      </c>
    </row>
    <row r="84" spans="2:7">
      <c r="B84" s="90" t="s">
        <v>515</v>
      </c>
      <c r="C84" s="90" t="s">
        <v>386</v>
      </c>
      <c r="D84" s="90" t="s">
        <v>68</v>
      </c>
      <c r="E84" s="90" t="s">
        <v>93</v>
      </c>
      <c r="F84" s="90" t="s">
        <v>69</v>
      </c>
      <c r="G84" s="90" t="s">
        <v>53</v>
      </c>
    </row>
    <row r="85" spans="2:7">
      <c r="B85" s="90" t="s">
        <v>517</v>
      </c>
      <c r="C85" s="90" t="s">
        <v>418</v>
      </c>
      <c r="D85" s="90" t="s">
        <v>68</v>
      </c>
      <c r="E85" s="90" t="s">
        <v>93</v>
      </c>
      <c r="F85" s="90" t="s">
        <v>69</v>
      </c>
      <c r="G85" s="90" t="s">
        <v>53</v>
      </c>
    </row>
    <row r="86" spans="2:7">
      <c r="B86" s="90" t="s">
        <v>519</v>
      </c>
      <c r="C86" s="90" t="s">
        <v>455</v>
      </c>
      <c r="D86" s="90" t="s">
        <v>68</v>
      </c>
      <c r="E86" s="90" t="s">
        <v>93</v>
      </c>
      <c r="F86" s="90" t="s">
        <v>69</v>
      </c>
      <c r="G86" s="90" t="s">
        <v>53</v>
      </c>
    </row>
    <row r="87" spans="2:7">
      <c r="B87" s="90" t="s">
        <v>521</v>
      </c>
      <c r="C87" s="90" t="s">
        <v>522</v>
      </c>
      <c r="D87" s="90" t="s">
        <v>68</v>
      </c>
      <c r="E87" s="90" t="s">
        <v>93</v>
      </c>
      <c r="F87" s="90" t="s">
        <v>69</v>
      </c>
      <c r="G87" s="90" t="s">
        <v>53</v>
      </c>
    </row>
    <row r="88" spans="2:7">
      <c r="B88" s="90" t="s">
        <v>524</v>
      </c>
      <c r="C88" s="90" t="s">
        <v>525</v>
      </c>
      <c r="D88" s="90" t="s">
        <v>68</v>
      </c>
      <c r="E88" s="90" t="s">
        <v>93</v>
      </c>
      <c r="F88" s="90" t="s">
        <v>69</v>
      </c>
      <c r="G88" s="90" t="s">
        <v>53</v>
      </c>
    </row>
    <row r="89" spans="2:7">
      <c r="B89" s="90" t="s">
        <v>527</v>
      </c>
      <c r="C89" s="90" t="s">
        <v>528</v>
      </c>
      <c r="D89" s="90" t="s">
        <v>68</v>
      </c>
      <c r="E89" s="90" t="s">
        <v>93</v>
      </c>
      <c r="F89" s="90" t="s">
        <v>69</v>
      </c>
      <c r="G89" s="90" t="s">
        <v>53</v>
      </c>
    </row>
    <row r="90" spans="2:7">
      <c r="B90" s="90" t="s">
        <v>530</v>
      </c>
      <c r="C90" s="90" t="s">
        <v>531</v>
      </c>
      <c r="D90" s="90" t="s">
        <v>68</v>
      </c>
      <c r="E90" s="90" t="s">
        <v>93</v>
      </c>
      <c r="F90" s="90" t="s">
        <v>69</v>
      </c>
      <c r="G90" s="90" t="s">
        <v>53</v>
      </c>
    </row>
    <row r="91" spans="2:7">
      <c r="B91" s="90" t="s">
        <v>533</v>
      </c>
      <c r="C91" s="90" t="s">
        <v>534</v>
      </c>
      <c r="D91" s="90" t="s">
        <v>68</v>
      </c>
      <c r="E91" s="90" t="s">
        <v>93</v>
      </c>
      <c r="F91" s="90" t="s">
        <v>69</v>
      </c>
      <c r="G91" s="90" t="s">
        <v>53</v>
      </c>
    </row>
    <row r="92" spans="2:7">
      <c r="B92" s="90" t="s">
        <v>73</v>
      </c>
      <c r="C92" s="90" t="s">
        <v>74</v>
      </c>
      <c r="D92" s="90" t="s">
        <v>50</v>
      </c>
      <c r="E92" s="90" t="s">
        <v>51</v>
      </c>
      <c r="F92" s="90" t="s">
        <v>75</v>
      </c>
      <c r="G92" s="90" t="s">
        <v>53</v>
      </c>
    </row>
    <row r="93" spans="2:7">
      <c r="B93" s="90" t="s">
        <v>121</v>
      </c>
      <c r="C93" s="90" t="s">
        <v>120</v>
      </c>
      <c r="D93" s="90" t="s">
        <v>50</v>
      </c>
      <c r="E93" s="90" t="s">
        <v>114</v>
      </c>
      <c r="F93" s="90" t="s">
        <v>75</v>
      </c>
      <c r="G93" s="90" t="s">
        <v>53</v>
      </c>
    </row>
    <row r="94" spans="2:7">
      <c r="B94" s="90" t="s">
        <v>124</v>
      </c>
      <c r="C94" s="90" t="s">
        <v>123</v>
      </c>
      <c r="D94" s="90" t="s">
        <v>50</v>
      </c>
      <c r="E94" s="90" t="s">
        <v>114</v>
      </c>
      <c r="F94" s="90" t="s">
        <v>75</v>
      </c>
      <c r="G94" s="90" t="s">
        <v>53</v>
      </c>
    </row>
    <row r="95" spans="2:7">
      <c r="B95" s="90" t="s">
        <v>130</v>
      </c>
      <c r="C95" s="90" t="s">
        <v>129</v>
      </c>
      <c r="D95" s="90" t="s">
        <v>50</v>
      </c>
      <c r="E95" s="90" t="s">
        <v>114</v>
      </c>
      <c r="F95" s="90" t="s">
        <v>75</v>
      </c>
      <c r="G95" s="90" t="s">
        <v>53</v>
      </c>
    </row>
    <row r="96" spans="2:7">
      <c r="B96" s="90" t="s">
        <v>133</v>
      </c>
      <c r="C96" s="90" t="s">
        <v>132</v>
      </c>
      <c r="D96" s="90" t="s">
        <v>50</v>
      </c>
      <c r="E96" s="90" t="s">
        <v>114</v>
      </c>
      <c r="F96" s="90" t="s">
        <v>75</v>
      </c>
      <c r="G96" s="90" t="s">
        <v>53</v>
      </c>
    </row>
    <row r="97" spans="2:7">
      <c r="B97" s="90" t="s">
        <v>136</v>
      </c>
      <c r="C97" s="90" t="s">
        <v>135</v>
      </c>
      <c r="D97" s="90" t="s">
        <v>50</v>
      </c>
      <c r="E97" s="90" t="s">
        <v>114</v>
      </c>
      <c r="F97" s="90" t="s">
        <v>75</v>
      </c>
      <c r="G97" s="90" t="s">
        <v>53</v>
      </c>
    </row>
    <row r="98" spans="2:7">
      <c r="B98" s="90" t="s">
        <v>250</v>
      </c>
      <c r="C98" s="90" t="s">
        <v>249</v>
      </c>
      <c r="D98" s="90" t="s">
        <v>50</v>
      </c>
      <c r="E98" s="90" t="s">
        <v>150</v>
      </c>
      <c r="F98" s="90" t="s">
        <v>75</v>
      </c>
      <c r="G98" s="90" t="s">
        <v>53</v>
      </c>
    </row>
    <row r="99" spans="2:7">
      <c r="B99" s="90" t="s">
        <v>255</v>
      </c>
      <c r="C99" s="90" t="s">
        <v>254</v>
      </c>
      <c r="D99" s="90" t="s">
        <v>50</v>
      </c>
      <c r="E99" s="90" t="s">
        <v>150</v>
      </c>
      <c r="F99" s="90" t="s">
        <v>75</v>
      </c>
      <c r="G99" s="90" t="s">
        <v>53</v>
      </c>
    </row>
    <row r="100" spans="2:7">
      <c r="B100" s="90" t="s">
        <v>261</v>
      </c>
      <c r="C100" s="90" t="s">
        <v>260</v>
      </c>
      <c r="D100" s="90" t="s">
        <v>50</v>
      </c>
      <c r="E100" s="90" t="s">
        <v>150</v>
      </c>
      <c r="F100" s="90" t="s">
        <v>75</v>
      </c>
      <c r="G100" s="90" t="s">
        <v>53</v>
      </c>
    </row>
    <row r="101" spans="2:7">
      <c r="B101" s="90" t="s">
        <v>270</v>
      </c>
      <c r="C101" s="90" t="s">
        <v>269</v>
      </c>
      <c r="D101" s="90" t="s">
        <v>50</v>
      </c>
      <c r="E101" s="90" t="s">
        <v>150</v>
      </c>
      <c r="F101" s="90" t="s">
        <v>75</v>
      </c>
      <c r="G101" s="90" t="s">
        <v>53</v>
      </c>
    </row>
    <row r="102" spans="2:7">
      <c r="B102" s="90" t="s">
        <v>276</v>
      </c>
      <c r="C102" s="90" t="s">
        <v>275</v>
      </c>
      <c r="D102" s="90" t="s">
        <v>50</v>
      </c>
      <c r="E102" s="90" t="s">
        <v>150</v>
      </c>
      <c r="F102" s="90" t="s">
        <v>75</v>
      </c>
      <c r="G102" s="90" t="s">
        <v>53</v>
      </c>
    </row>
    <row r="103" spans="2:7">
      <c r="B103" s="90" t="s">
        <v>282</v>
      </c>
      <c r="C103" s="90" t="s">
        <v>281</v>
      </c>
      <c r="D103" s="90" t="s">
        <v>50</v>
      </c>
      <c r="E103" s="90" t="s">
        <v>150</v>
      </c>
      <c r="F103" s="90" t="s">
        <v>75</v>
      </c>
      <c r="G103" s="90" t="s">
        <v>53</v>
      </c>
    </row>
    <row r="104" spans="2:7">
      <c r="B104" s="90" t="s">
        <v>401</v>
      </c>
      <c r="C104" s="90" t="s">
        <v>402</v>
      </c>
      <c r="D104" s="90" t="s">
        <v>50</v>
      </c>
      <c r="E104" s="90" t="s">
        <v>157</v>
      </c>
      <c r="F104" s="90" t="s">
        <v>75</v>
      </c>
      <c r="G104" s="90" t="s">
        <v>53</v>
      </c>
    </row>
    <row r="105" spans="2:7">
      <c r="B105" s="90" t="s">
        <v>389</v>
      </c>
      <c r="C105" s="90" t="s">
        <v>390</v>
      </c>
      <c r="D105" s="90" t="s">
        <v>50</v>
      </c>
      <c r="E105" s="90" t="s">
        <v>391</v>
      </c>
      <c r="F105" s="90" t="s">
        <v>75</v>
      </c>
      <c r="G105" s="90" t="s">
        <v>53</v>
      </c>
    </row>
    <row r="106" spans="2:7">
      <c r="B106" s="90" t="s">
        <v>392</v>
      </c>
      <c r="C106" s="90" t="s">
        <v>393</v>
      </c>
      <c r="D106" s="90" t="s">
        <v>50</v>
      </c>
      <c r="E106" s="90" t="s">
        <v>111</v>
      </c>
      <c r="F106" s="90" t="s">
        <v>75</v>
      </c>
      <c r="G106" s="90" t="s">
        <v>53</v>
      </c>
    </row>
    <row r="107" spans="2:7">
      <c r="B107" s="90" t="s">
        <v>48</v>
      </c>
      <c r="C107" s="90" t="s">
        <v>49</v>
      </c>
      <c r="D107" s="90" t="s">
        <v>50</v>
      </c>
      <c r="E107" s="90" t="s">
        <v>51</v>
      </c>
      <c r="F107" s="90" t="s">
        <v>52</v>
      </c>
      <c r="G107" s="90" t="s">
        <v>53</v>
      </c>
    </row>
    <row r="108" spans="2:7">
      <c r="B108" s="90" t="s">
        <v>54</v>
      </c>
      <c r="C108" s="90" t="s">
        <v>55</v>
      </c>
      <c r="D108" s="90" t="s">
        <v>50</v>
      </c>
      <c r="E108" s="90" t="s">
        <v>51</v>
      </c>
      <c r="F108" s="90" t="s">
        <v>56</v>
      </c>
      <c r="G108" s="90" t="s">
        <v>53</v>
      </c>
    </row>
    <row r="109" spans="2:7">
      <c r="B109" s="90" t="s">
        <v>57</v>
      </c>
      <c r="C109" s="90" t="s">
        <v>58</v>
      </c>
      <c r="D109" s="90" t="s">
        <v>50</v>
      </c>
      <c r="E109" s="90" t="s">
        <v>51</v>
      </c>
      <c r="F109" s="90" t="s">
        <v>59</v>
      </c>
      <c r="G109" s="90" t="s">
        <v>53</v>
      </c>
    </row>
    <row r="110" spans="2:7">
      <c r="B110" s="90" t="s">
        <v>60</v>
      </c>
      <c r="C110" s="90" t="s">
        <v>61</v>
      </c>
      <c r="D110" s="90" t="s">
        <v>50</v>
      </c>
      <c r="E110" s="90" t="s">
        <v>51</v>
      </c>
      <c r="F110" s="90" t="s">
        <v>56</v>
      </c>
      <c r="G110" s="90" t="s">
        <v>53</v>
      </c>
    </row>
    <row r="111" spans="2:7">
      <c r="B111" s="90" t="s">
        <v>62</v>
      </c>
      <c r="C111" s="90" t="s">
        <v>63</v>
      </c>
      <c r="D111" s="90" t="s">
        <v>50</v>
      </c>
      <c r="E111" s="90" t="s">
        <v>51</v>
      </c>
      <c r="F111" s="90" t="s">
        <v>59</v>
      </c>
      <c r="G111" s="90" t="s">
        <v>53</v>
      </c>
    </row>
    <row r="112" spans="2:7">
      <c r="B112" s="90" t="s">
        <v>64</v>
      </c>
      <c r="C112" s="90" t="s">
        <v>65</v>
      </c>
      <c r="D112" s="90" t="s">
        <v>50</v>
      </c>
      <c r="E112" s="90" t="s">
        <v>51</v>
      </c>
      <c r="F112" s="90" t="s">
        <v>56</v>
      </c>
      <c r="G112" s="90" t="s">
        <v>53</v>
      </c>
    </row>
    <row r="113" spans="2:7">
      <c r="B113" s="90" t="s">
        <v>119</v>
      </c>
      <c r="C113" s="90" t="s">
        <v>120</v>
      </c>
      <c r="D113" s="90" t="s">
        <v>50</v>
      </c>
      <c r="E113" s="90" t="s">
        <v>114</v>
      </c>
      <c r="F113" s="90" t="s">
        <v>56</v>
      </c>
      <c r="G113" s="90" t="s">
        <v>53</v>
      </c>
    </row>
    <row r="114" spans="2:7">
      <c r="B114" s="90" t="s">
        <v>122</v>
      </c>
      <c r="C114" s="90" t="s">
        <v>123</v>
      </c>
      <c r="D114" s="90" t="s">
        <v>50</v>
      </c>
      <c r="E114" s="90" t="s">
        <v>114</v>
      </c>
      <c r="F114" s="90" t="s">
        <v>56</v>
      </c>
      <c r="G114" s="90" t="s">
        <v>53</v>
      </c>
    </row>
    <row r="115" spans="2:7">
      <c r="B115" s="90" t="s">
        <v>125</v>
      </c>
      <c r="C115" s="90" t="s">
        <v>126</v>
      </c>
      <c r="D115" s="90" t="s">
        <v>50</v>
      </c>
      <c r="E115" s="90" t="s">
        <v>114</v>
      </c>
      <c r="F115" s="90" t="s">
        <v>56</v>
      </c>
      <c r="G115" s="90" t="s">
        <v>53</v>
      </c>
    </row>
    <row r="116" spans="2:7">
      <c r="B116" s="90" t="s">
        <v>127</v>
      </c>
      <c r="C116" s="90" t="s">
        <v>126</v>
      </c>
      <c r="D116" s="90" t="s">
        <v>50</v>
      </c>
      <c r="E116" s="90" t="s">
        <v>114</v>
      </c>
      <c r="F116" s="90" t="s">
        <v>56</v>
      </c>
      <c r="G116" s="90" t="s">
        <v>53</v>
      </c>
    </row>
    <row r="117" spans="2:7">
      <c r="B117" s="90" t="s">
        <v>128</v>
      </c>
      <c r="C117" s="90" t="s">
        <v>129</v>
      </c>
      <c r="D117" s="90" t="s">
        <v>50</v>
      </c>
      <c r="E117" s="90" t="s">
        <v>114</v>
      </c>
      <c r="F117" s="90" t="s">
        <v>56</v>
      </c>
      <c r="G117" s="90" t="s">
        <v>53</v>
      </c>
    </row>
    <row r="118" spans="2:7">
      <c r="B118" s="90" t="s">
        <v>131</v>
      </c>
      <c r="C118" s="90" t="s">
        <v>132</v>
      </c>
      <c r="D118" s="90" t="s">
        <v>50</v>
      </c>
      <c r="E118" s="90" t="s">
        <v>114</v>
      </c>
      <c r="F118" s="90" t="s">
        <v>56</v>
      </c>
      <c r="G118" s="90" t="s">
        <v>53</v>
      </c>
    </row>
    <row r="119" spans="2:7">
      <c r="B119" s="90" t="s">
        <v>134</v>
      </c>
      <c r="C119" s="90" t="s">
        <v>135</v>
      </c>
      <c r="D119" s="90" t="s">
        <v>50</v>
      </c>
      <c r="E119" s="90" t="s">
        <v>114</v>
      </c>
      <c r="F119" s="90" t="s">
        <v>56</v>
      </c>
      <c r="G119" s="90" t="s">
        <v>53</v>
      </c>
    </row>
    <row r="120" spans="2:7">
      <c r="B120" s="90" t="s">
        <v>182</v>
      </c>
      <c r="C120" s="90" t="s">
        <v>183</v>
      </c>
      <c r="D120" s="90" t="s">
        <v>50</v>
      </c>
      <c r="E120" s="90" t="s">
        <v>83</v>
      </c>
      <c r="F120" s="90" t="s">
        <v>56</v>
      </c>
      <c r="G120" s="90" t="s">
        <v>53</v>
      </c>
    </row>
    <row r="121" spans="2:7">
      <c r="B121" s="90" t="s">
        <v>186</v>
      </c>
      <c r="C121" s="90" t="s">
        <v>187</v>
      </c>
      <c r="D121" s="90" t="s">
        <v>50</v>
      </c>
      <c r="E121" s="90" t="s">
        <v>83</v>
      </c>
      <c r="F121" s="90" t="s">
        <v>56</v>
      </c>
      <c r="G121" s="90" t="s">
        <v>53</v>
      </c>
    </row>
    <row r="122" spans="2:7">
      <c r="B122" s="90" t="s">
        <v>188</v>
      </c>
      <c r="C122" s="90" t="s">
        <v>189</v>
      </c>
      <c r="D122" s="90" t="s">
        <v>50</v>
      </c>
      <c r="E122" s="90" t="s">
        <v>83</v>
      </c>
      <c r="F122" s="90" t="s">
        <v>56</v>
      </c>
      <c r="G122" s="90" t="s">
        <v>53</v>
      </c>
    </row>
    <row r="123" spans="2:7">
      <c r="B123" s="90" t="s">
        <v>190</v>
      </c>
      <c r="C123" s="90" t="s">
        <v>191</v>
      </c>
      <c r="D123" s="90" t="s">
        <v>50</v>
      </c>
      <c r="E123" s="90" t="s">
        <v>83</v>
      </c>
      <c r="F123" s="90" t="s">
        <v>56</v>
      </c>
      <c r="G123" s="90" t="s">
        <v>53</v>
      </c>
    </row>
    <row r="124" spans="2:7">
      <c r="B124" s="90" t="s">
        <v>192</v>
      </c>
      <c r="C124" s="90" t="s">
        <v>193</v>
      </c>
      <c r="D124" s="90" t="s">
        <v>50</v>
      </c>
      <c r="E124" s="90" t="s">
        <v>83</v>
      </c>
      <c r="F124" s="90" t="s">
        <v>56</v>
      </c>
      <c r="G124" s="90" t="s">
        <v>53</v>
      </c>
    </row>
    <row r="125" spans="2:7">
      <c r="B125" s="90" t="s">
        <v>194</v>
      </c>
      <c r="C125" s="90" t="s">
        <v>195</v>
      </c>
      <c r="D125" s="90" t="s">
        <v>50</v>
      </c>
      <c r="E125" s="90" t="s">
        <v>83</v>
      </c>
      <c r="F125" s="90" t="s">
        <v>56</v>
      </c>
      <c r="G125" s="90" t="s">
        <v>53</v>
      </c>
    </row>
    <row r="126" spans="2:7">
      <c r="B126" s="90" t="s">
        <v>196</v>
      </c>
      <c r="C126" s="90" t="s">
        <v>197</v>
      </c>
      <c r="D126" s="90" t="s">
        <v>50</v>
      </c>
      <c r="E126" s="90" t="s">
        <v>83</v>
      </c>
      <c r="F126" s="90" t="s">
        <v>56</v>
      </c>
      <c r="G126" s="90" t="s">
        <v>53</v>
      </c>
    </row>
    <row r="127" spans="2:7">
      <c r="B127" s="90" t="s">
        <v>198</v>
      </c>
      <c r="C127" s="90" t="s">
        <v>199</v>
      </c>
      <c r="D127" s="90" t="s">
        <v>50</v>
      </c>
      <c r="E127" s="90" t="s">
        <v>83</v>
      </c>
      <c r="F127" s="90" t="s">
        <v>56</v>
      </c>
      <c r="G127" s="90" t="s">
        <v>53</v>
      </c>
    </row>
    <row r="128" spans="2:7">
      <c r="B128" s="90" t="s">
        <v>200</v>
      </c>
      <c r="C128" s="90" t="s">
        <v>201</v>
      </c>
      <c r="D128" s="90" t="s">
        <v>50</v>
      </c>
      <c r="E128" s="90" t="s">
        <v>83</v>
      </c>
      <c r="F128" s="90" t="s">
        <v>56</v>
      </c>
      <c r="G128" s="90" t="s">
        <v>53</v>
      </c>
    </row>
    <row r="129" spans="2:7">
      <c r="B129" s="90" t="s">
        <v>202</v>
      </c>
      <c r="C129" s="90" t="s">
        <v>203</v>
      </c>
      <c r="D129" s="90" t="s">
        <v>50</v>
      </c>
      <c r="E129" s="90" t="s">
        <v>83</v>
      </c>
      <c r="F129" s="90" t="s">
        <v>56</v>
      </c>
      <c r="G129" s="90" t="s">
        <v>53</v>
      </c>
    </row>
    <row r="130" spans="2:7">
      <c r="B130" s="90" t="s">
        <v>204</v>
      </c>
      <c r="C130" s="90" t="s">
        <v>205</v>
      </c>
      <c r="D130" s="90" t="s">
        <v>50</v>
      </c>
      <c r="E130" s="90" t="s">
        <v>83</v>
      </c>
      <c r="F130" s="90" t="s">
        <v>56</v>
      </c>
      <c r="G130" s="90" t="s">
        <v>53</v>
      </c>
    </row>
    <row r="131" spans="2:7">
      <c r="B131" s="90" t="s">
        <v>206</v>
      </c>
      <c r="C131" s="90" t="s">
        <v>207</v>
      </c>
      <c r="D131" s="90" t="s">
        <v>50</v>
      </c>
      <c r="E131" s="90" t="s">
        <v>83</v>
      </c>
      <c r="F131" s="90" t="s">
        <v>56</v>
      </c>
      <c r="G131" s="90" t="s">
        <v>53</v>
      </c>
    </row>
    <row r="132" spans="2:7">
      <c r="B132" s="90" t="s">
        <v>208</v>
      </c>
      <c r="C132" s="90" t="s">
        <v>209</v>
      </c>
      <c r="D132" s="90" t="s">
        <v>50</v>
      </c>
      <c r="E132" s="90" t="s">
        <v>83</v>
      </c>
      <c r="F132" s="90" t="s">
        <v>56</v>
      </c>
      <c r="G132" s="90" t="s">
        <v>53</v>
      </c>
    </row>
    <row r="133" spans="2:7">
      <c r="B133" s="90" t="s">
        <v>210</v>
      </c>
      <c r="C133" s="90" t="s">
        <v>211</v>
      </c>
      <c r="D133" s="90" t="s">
        <v>50</v>
      </c>
      <c r="E133" s="90" t="s">
        <v>83</v>
      </c>
      <c r="F133" s="90" t="s">
        <v>56</v>
      </c>
      <c r="G133" s="90" t="s">
        <v>53</v>
      </c>
    </row>
    <row r="134" spans="2:7">
      <c r="B134" s="90" t="s">
        <v>212</v>
      </c>
      <c r="C134" s="90" t="s">
        <v>213</v>
      </c>
      <c r="D134" s="90" t="s">
        <v>50</v>
      </c>
      <c r="E134" s="90" t="s">
        <v>83</v>
      </c>
      <c r="F134" s="90" t="s">
        <v>56</v>
      </c>
      <c r="G134" s="90" t="s">
        <v>53</v>
      </c>
    </row>
    <row r="135" spans="2:7">
      <c r="B135" s="90" t="s">
        <v>214</v>
      </c>
      <c r="C135" s="90" t="s">
        <v>215</v>
      </c>
      <c r="D135" s="90" t="s">
        <v>50</v>
      </c>
      <c r="E135" s="90" t="s">
        <v>83</v>
      </c>
      <c r="F135" s="90" t="s">
        <v>56</v>
      </c>
      <c r="G135" s="90" t="s">
        <v>53</v>
      </c>
    </row>
    <row r="136" spans="2:7">
      <c r="B136" s="90" t="s">
        <v>216</v>
      </c>
      <c r="C136" s="90" t="s">
        <v>217</v>
      </c>
      <c r="D136" s="90" t="s">
        <v>50</v>
      </c>
      <c r="E136" s="90" t="s">
        <v>83</v>
      </c>
      <c r="F136" s="90" t="s">
        <v>56</v>
      </c>
      <c r="G136" s="90" t="s">
        <v>53</v>
      </c>
    </row>
    <row r="137" spans="2:7">
      <c r="B137" s="90" t="s">
        <v>248</v>
      </c>
      <c r="C137" s="90" t="s">
        <v>249</v>
      </c>
      <c r="D137" s="90" t="s">
        <v>50</v>
      </c>
      <c r="E137" s="90" t="s">
        <v>150</v>
      </c>
      <c r="F137" s="90" t="s">
        <v>56</v>
      </c>
      <c r="G137" s="90" t="s">
        <v>53</v>
      </c>
    </row>
    <row r="138" spans="2:7">
      <c r="B138" s="90" t="s">
        <v>253</v>
      </c>
      <c r="C138" s="90" t="s">
        <v>254</v>
      </c>
      <c r="D138" s="90" t="s">
        <v>50</v>
      </c>
      <c r="E138" s="90" t="s">
        <v>150</v>
      </c>
      <c r="F138" s="90" t="s">
        <v>52</v>
      </c>
      <c r="G138" s="90" t="s">
        <v>53</v>
      </c>
    </row>
    <row r="139" spans="2:7">
      <c r="B139" s="90" t="s">
        <v>259</v>
      </c>
      <c r="C139" s="90" t="s">
        <v>260</v>
      </c>
      <c r="D139" s="90" t="s">
        <v>50</v>
      </c>
      <c r="E139" s="90" t="s">
        <v>150</v>
      </c>
      <c r="F139" s="90" t="s">
        <v>56</v>
      </c>
      <c r="G139" s="90" t="s">
        <v>53</v>
      </c>
    </row>
    <row r="140" spans="2:7">
      <c r="B140" s="90" t="s">
        <v>268</v>
      </c>
      <c r="C140" s="90" t="s">
        <v>269</v>
      </c>
      <c r="D140" s="90" t="s">
        <v>50</v>
      </c>
      <c r="E140" s="90" t="s">
        <v>150</v>
      </c>
      <c r="F140" s="90" t="s">
        <v>56</v>
      </c>
      <c r="G140" s="90" t="s">
        <v>53</v>
      </c>
    </row>
    <row r="141" spans="2:7">
      <c r="B141" s="90" t="s">
        <v>274</v>
      </c>
      <c r="C141" s="90" t="s">
        <v>275</v>
      </c>
      <c r="D141" s="90" t="s">
        <v>50</v>
      </c>
      <c r="E141" s="90" t="s">
        <v>150</v>
      </c>
      <c r="F141" s="90" t="s">
        <v>56</v>
      </c>
      <c r="G141" s="90" t="s">
        <v>53</v>
      </c>
    </row>
    <row r="142" spans="2:7">
      <c r="B142" s="90" t="s">
        <v>280</v>
      </c>
      <c r="C142" s="90" t="s">
        <v>281</v>
      </c>
      <c r="D142" s="90" t="s">
        <v>50</v>
      </c>
      <c r="E142" s="90" t="s">
        <v>150</v>
      </c>
      <c r="F142" s="90" t="s">
        <v>56</v>
      </c>
      <c r="G142" s="90" t="s">
        <v>53</v>
      </c>
    </row>
    <row r="143" spans="2:7">
      <c r="B143" s="90" t="s">
        <v>397</v>
      </c>
      <c r="C143" s="90" t="s">
        <v>398</v>
      </c>
      <c r="D143" s="90" t="s">
        <v>50</v>
      </c>
      <c r="E143" s="90" t="s">
        <v>157</v>
      </c>
      <c r="F143" s="90" t="s">
        <v>56</v>
      </c>
      <c r="G143" s="90" t="s">
        <v>53</v>
      </c>
    </row>
    <row r="144" spans="2:7">
      <c r="B144" s="90" t="s">
        <v>423</v>
      </c>
      <c r="C144" s="90" t="s">
        <v>424</v>
      </c>
      <c r="D144" s="90" t="s">
        <v>50</v>
      </c>
      <c r="E144" s="90" t="s">
        <v>160</v>
      </c>
      <c r="F144" s="90" t="s">
        <v>56</v>
      </c>
      <c r="G144" s="90" t="s">
        <v>53</v>
      </c>
    </row>
    <row r="145" spans="2:7">
      <c r="B145" s="90" t="s">
        <v>427</v>
      </c>
      <c r="C145" s="90" t="s">
        <v>428</v>
      </c>
      <c r="D145" s="90" t="s">
        <v>50</v>
      </c>
      <c r="E145" s="90" t="s">
        <v>160</v>
      </c>
      <c r="F145" s="90" t="s">
        <v>56</v>
      </c>
      <c r="G145" s="90" t="s">
        <v>53</v>
      </c>
    </row>
    <row r="146" spans="2:7">
      <c r="B146" s="90" t="s">
        <v>429</v>
      </c>
      <c r="C146" s="90" t="s">
        <v>430</v>
      </c>
      <c r="D146" s="90" t="s">
        <v>50</v>
      </c>
      <c r="E146" s="90" t="s">
        <v>160</v>
      </c>
      <c r="F146" s="90" t="s">
        <v>56</v>
      </c>
      <c r="G146" s="90" t="s">
        <v>53</v>
      </c>
    </row>
    <row r="147" spans="2:7">
      <c r="B147" s="90" t="s">
        <v>431</v>
      </c>
      <c r="C147" s="90" t="s">
        <v>432</v>
      </c>
      <c r="D147" s="90" t="s">
        <v>50</v>
      </c>
      <c r="E147" s="90" t="s">
        <v>160</v>
      </c>
      <c r="F147" s="90" t="s">
        <v>56</v>
      </c>
      <c r="G147" s="90" t="s">
        <v>53</v>
      </c>
    </row>
    <row r="148" spans="2:7">
      <c r="B148" s="90" t="s">
        <v>433</v>
      </c>
      <c r="C148" s="90" t="s">
        <v>434</v>
      </c>
      <c r="D148" s="90" t="s">
        <v>50</v>
      </c>
      <c r="E148" s="90" t="s">
        <v>160</v>
      </c>
      <c r="F148" s="90" t="s">
        <v>56</v>
      </c>
      <c r="G148" s="90" t="s">
        <v>53</v>
      </c>
    </row>
    <row r="149" spans="2:7">
      <c r="B149" s="90" t="s">
        <v>435</v>
      </c>
      <c r="C149" s="90" t="s">
        <v>436</v>
      </c>
      <c r="D149" s="90" t="s">
        <v>50</v>
      </c>
      <c r="E149" s="90" t="s">
        <v>160</v>
      </c>
      <c r="F149" s="90" t="s">
        <v>56</v>
      </c>
      <c r="G149" s="90" t="s">
        <v>53</v>
      </c>
    </row>
    <row r="150" spans="2:7">
      <c r="B150" s="90" t="s">
        <v>109</v>
      </c>
      <c r="C150" s="90" t="s">
        <v>110</v>
      </c>
      <c r="D150" s="90" t="s">
        <v>50</v>
      </c>
      <c r="E150" s="90" t="s">
        <v>111</v>
      </c>
      <c r="F150" s="90" t="s">
        <v>56</v>
      </c>
      <c r="G150" s="90" t="s">
        <v>53</v>
      </c>
    </row>
    <row r="151" spans="2:7">
      <c r="B151" s="90" t="s">
        <v>543</v>
      </c>
      <c r="C151" s="90" t="s">
        <v>544</v>
      </c>
      <c r="D151" s="90" t="s">
        <v>50</v>
      </c>
      <c r="E151" s="90" t="s">
        <v>538</v>
      </c>
      <c r="F151" s="90" t="s">
        <v>56</v>
      </c>
      <c r="G151" s="90" t="s">
        <v>53</v>
      </c>
    </row>
    <row r="152" spans="2:7">
      <c r="B152" s="90" t="s">
        <v>545</v>
      </c>
      <c r="C152" s="90" t="s">
        <v>546</v>
      </c>
      <c r="D152" s="90" t="s">
        <v>50</v>
      </c>
      <c r="E152" s="90" t="s">
        <v>538</v>
      </c>
      <c r="F152" s="90" t="s">
        <v>56</v>
      </c>
      <c r="G152" s="90" t="s">
        <v>53</v>
      </c>
    </row>
    <row r="153" spans="2:7">
      <c r="B153" s="90" t="s">
        <v>251</v>
      </c>
      <c r="C153" s="90" t="s">
        <v>249</v>
      </c>
      <c r="D153" s="90" t="s">
        <v>82</v>
      </c>
      <c r="E153" s="90" t="s">
        <v>150</v>
      </c>
      <c r="F153" s="90" t="s">
        <v>263</v>
      </c>
      <c r="G153" s="90" t="s">
        <v>53</v>
      </c>
    </row>
    <row r="154" spans="2:7">
      <c r="B154" s="90" t="s">
        <v>256</v>
      </c>
      <c r="C154" s="90" t="s">
        <v>254</v>
      </c>
      <c r="D154" s="90" t="s">
        <v>82</v>
      </c>
      <c r="E154" s="90" t="s">
        <v>150</v>
      </c>
      <c r="F154" s="90" t="s">
        <v>263</v>
      </c>
      <c r="G154" s="90" t="s">
        <v>53</v>
      </c>
    </row>
    <row r="155" spans="2:7">
      <c r="B155" s="90" t="s">
        <v>262</v>
      </c>
      <c r="C155" s="90" t="s">
        <v>260</v>
      </c>
      <c r="D155" s="90" t="s">
        <v>82</v>
      </c>
      <c r="E155" s="90" t="s">
        <v>150</v>
      </c>
      <c r="F155" s="90" t="s">
        <v>263</v>
      </c>
      <c r="G155" s="90" t="s">
        <v>53</v>
      </c>
    </row>
    <row r="156" spans="2:7">
      <c r="B156" s="90" t="s">
        <v>271</v>
      </c>
      <c r="C156" s="90" t="s">
        <v>269</v>
      </c>
      <c r="D156" s="90" t="s">
        <v>82</v>
      </c>
      <c r="E156" s="90" t="s">
        <v>150</v>
      </c>
      <c r="F156" s="90" t="s">
        <v>263</v>
      </c>
      <c r="G156" s="90" t="s">
        <v>53</v>
      </c>
    </row>
    <row r="157" spans="2:7">
      <c r="B157" s="90" t="s">
        <v>277</v>
      </c>
      <c r="C157" s="90" t="s">
        <v>275</v>
      </c>
      <c r="D157" s="90" t="s">
        <v>82</v>
      </c>
      <c r="E157" s="90" t="s">
        <v>150</v>
      </c>
      <c r="F157" s="90" t="s">
        <v>263</v>
      </c>
      <c r="G157" s="90" t="s">
        <v>53</v>
      </c>
    </row>
    <row r="158" spans="2:7">
      <c r="B158" s="90" t="s">
        <v>283</v>
      </c>
      <c r="C158" s="90" t="s">
        <v>281</v>
      </c>
      <c r="D158" s="90" t="s">
        <v>82</v>
      </c>
      <c r="E158" s="90" t="s">
        <v>150</v>
      </c>
      <c r="F158" s="90" t="s">
        <v>263</v>
      </c>
      <c r="G158" s="90" t="s">
        <v>53</v>
      </c>
    </row>
    <row r="159" spans="2:7">
      <c r="B159" s="90" t="s">
        <v>306</v>
      </c>
      <c r="C159" s="90" t="s">
        <v>86</v>
      </c>
      <c r="D159" s="90" t="s">
        <v>50</v>
      </c>
      <c r="E159" s="90" t="s">
        <v>87</v>
      </c>
      <c r="F159" s="90" t="s">
        <v>263</v>
      </c>
      <c r="G159" s="90" t="s">
        <v>53</v>
      </c>
    </row>
    <row r="160" spans="2:7">
      <c r="B160" s="90" t="s">
        <v>308</v>
      </c>
      <c r="C160" s="90" t="s">
        <v>152</v>
      </c>
      <c r="D160" s="90" t="s">
        <v>50</v>
      </c>
      <c r="E160" s="90" t="s">
        <v>87</v>
      </c>
      <c r="F160" s="90" t="s">
        <v>263</v>
      </c>
      <c r="G160" s="90" t="s">
        <v>53</v>
      </c>
    </row>
    <row r="161" spans="2:7">
      <c r="B161" s="90" t="s">
        <v>310</v>
      </c>
      <c r="C161" s="90" t="s">
        <v>173</v>
      </c>
      <c r="D161" s="90" t="s">
        <v>50</v>
      </c>
      <c r="E161" s="90" t="s">
        <v>87</v>
      </c>
      <c r="F161" s="90" t="s">
        <v>263</v>
      </c>
      <c r="G161" s="90" t="s">
        <v>53</v>
      </c>
    </row>
    <row r="162" spans="2:7">
      <c r="B162" s="90" t="s">
        <v>313</v>
      </c>
      <c r="C162" s="90" t="s">
        <v>312</v>
      </c>
      <c r="D162" s="90" t="s">
        <v>50</v>
      </c>
      <c r="E162" s="90" t="s">
        <v>87</v>
      </c>
      <c r="F162" s="90" t="s">
        <v>263</v>
      </c>
      <c r="G162" s="90" t="s">
        <v>53</v>
      </c>
    </row>
    <row r="163" spans="2:7">
      <c r="B163" s="90" t="s">
        <v>316</v>
      </c>
      <c r="C163" s="90" t="s">
        <v>315</v>
      </c>
      <c r="D163" s="90" t="s">
        <v>50</v>
      </c>
      <c r="E163" s="90" t="s">
        <v>87</v>
      </c>
      <c r="F163" s="90" t="s">
        <v>263</v>
      </c>
      <c r="G163" s="90" t="s">
        <v>53</v>
      </c>
    </row>
    <row r="164" spans="2:7">
      <c r="B164" s="90" t="s">
        <v>319</v>
      </c>
      <c r="C164" s="90" t="s">
        <v>318</v>
      </c>
      <c r="D164" s="90" t="s">
        <v>50</v>
      </c>
      <c r="E164" s="90" t="s">
        <v>87</v>
      </c>
      <c r="F164" s="90" t="s">
        <v>263</v>
      </c>
      <c r="G164" s="90" t="s">
        <v>53</v>
      </c>
    </row>
    <row r="165" spans="2:7">
      <c r="B165" s="90" t="s">
        <v>322</v>
      </c>
      <c r="C165" s="90" t="s">
        <v>321</v>
      </c>
      <c r="D165" s="90" t="s">
        <v>50</v>
      </c>
      <c r="E165" s="90" t="s">
        <v>87</v>
      </c>
      <c r="F165" s="90" t="s">
        <v>263</v>
      </c>
      <c r="G165" s="90" t="s">
        <v>53</v>
      </c>
    </row>
    <row r="166" spans="2:7">
      <c r="B166" s="90" t="s">
        <v>325</v>
      </c>
      <c r="C166" s="90" t="s">
        <v>324</v>
      </c>
      <c r="D166" s="90" t="s">
        <v>50</v>
      </c>
      <c r="E166" s="90" t="s">
        <v>87</v>
      </c>
      <c r="F166" s="90" t="s">
        <v>263</v>
      </c>
      <c r="G166" s="90" t="s">
        <v>53</v>
      </c>
    </row>
    <row r="167" spans="2:7">
      <c r="B167" s="90" t="s">
        <v>328</v>
      </c>
      <c r="C167" s="90" t="s">
        <v>327</v>
      </c>
      <c r="D167" s="90" t="s">
        <v>50</v>
      </c>
      <c r="E167" s="90" t="s">
        <v>87</v>
      </c>
      <c r="F167" s="90" t="s">
        <v>263</v>
      </c>
      <c r="G167" s="90" t="s">
        <v>53</v>
      </c>
    </row>
    <row r="168" spans="2:7">
      <c r="B168" s="90" t="s">
        <v>331</v>
      </c>
      <c r="C168" s="90" t="s">
        <v>330</v>
      </c>
      <c r="D168" s="90" t="s">
        <v>50</v>
      </c>
      <c r="E168" s="90" t="s">
        <v>87</v>
      </c>
      <c r="F168" s="90" t="s">
        <v>263</v>
      </c>
      <c r="G168" s="90" t="s">
        <v>53</v>
      </c>
    </row>
    <row r="169" spans="2:7">
      <c r="B169" s="90" t="s">
        <v>334</v>
      </c>
      <c r="C169" s="90" t="s">
        <v>333</v>
      </c>
      <c r="D169" s="90" t="s">
        <v>50</v>
      </c>
      <c r="E169" s="90" t="s">
        <v>87</v>
      </c>
      <c r="F169" s="90" t="s">
        <v>263</v>
      </c>
      <c r="G169" s="90" t="s">
        <v>53</v>
      </c>
    </row>
    <row r="170" spans="2:7">
      <c r="B170" s="90" t="s">
        <v>337</v>
      </c>
      <c r="C170" s="90" t="s">
        <v>336</v>
      </c>
      <c r="D170" s="90" t="s">
        <v>50</v>
      </c>
      <c r="E170" s="90" t="s">
        <v>87</v>
      </c>
      <c r="F170" s="90" t="s">
        <v>263</v>
      </c>
      <c r="G170" s="90" t="s">
        <v>53</v>
      </c>
    </row>
    <row r="171" spans="2:7">
      <c r="B171" s="90" t="s">
        <v>339</v>
      </c>
      <c r="C171" s="90" t="s">
        <v>89</v>
      </c>
      <c r="D171" s="90" t="s">
        <v>50</v>
      </c>
      <c r="E171" s="90" t="s">
        <v>90</v>
      </c>
      <c r="F171" s="90" t="s">
        <v>263</v>
      </c>
      <c r="G171" s="90" t="s">
        <v>53</v>
      </c>
    </row>
    <row r="172" spans="2:7">
      <c r="B172" s="90" t="s">
        <v>341</v>
      </c>
      <c r="C172" s="90" t="s">
        <v>154</v>
      </c>
      <c r="D172" s="90" t="s">
        <v>50</v>
      </c>
      <c r="E172" s="90" t="s">
        <v>90</v>
      </c>
      <c r="F172" s="90" t="s">
        <v>263</v>
      </c>
      <c r="G172" s="90" t="s">
        <v>53</v>
      </c>
    </row>
    <row r="173" spans="2:7">
      <c r="B173" s="90" t="s">
        <v>343</v>
      </c>
      <c r="C173" s="90" t="s">
        <v>175</v>
      </c>
      <c r="D173" s="90" t="s">
        <v>50</v>
      </c>
      <c r="E173" s="90" t="s">
        <v>90</v>
      </c>
      <c r="F173" s="90" t="s">
        <v>263</v>
      </c>
      <c r="G173" s="90" t="s">
        <v>53</v>
      </c>
    </row>
    <row r="174" spans="2:7">
      <c r="B174" s="90" t="s">
        <v>345</v>
      </c>
      <c r="C174" s="90" t="s">
        <v>243</v>
      </c>
      <c r="D174" s="90" t="s">
        <v>50</v>
      </c>
      <c r="E174" s="90" t="s">
        <v>90</v>
      </c>
      <c r="F174" s="90" t="s">
        <v>263</v>
      </c>
      <c r="G174" s="90" t="s">
        <v>53</v>
      </c>
    </row>
    <row r="175" spans="2:7">
      <c r="B175" s="90" t="s">
        <v>348</v>
      </c>
      <c r="C175" s="90" t="s">
        <v>347</v>
      </c>
      <c r="D175" s="90" t="s">
        <v>50</v>
      </c>
      <c r="E175" s="90" t="s">
        <v>90</v>
      </c>
      <c r="F175" s="90" t="s">
        <v>263</v>
      </c>
      <c r="G175" s="90" t="s">
        <v>53</v>
      </c>
    </row>
    <row r="176" spans="2:7">
      <c r="B176" s="90" t="s">
        <v>351</v>
      </c>
      <c r="C176" s="90" t="s">
        <v>350</v>
      </c>
      <c r="D176" s="90" t="s">
        <v>50</v>
      </c>
      <c r="E176" s="90" t="s">
        <v>90</v>
      </c>
      <c r="F176" s="90" t="s">
        <v>263</v>
      </c>
      <c r="G176" s="90" t="s">
        <v>53</v>
      </c>
    </row>
    <row r="177" spans="2:7">
      <c r="B177" s="90" t="s">
        <v>354</v>
      </c>
      <c r="C177" s="90" t="s">
        <v>353</v>
      </c>
      <c r="D177" s="90" t="s">
        <v>50</v>
      </c>
      <c r="E177" s="90" t="s">
        <v>90</v>
      </c>
      <c r="F177" s="90" t="s">
        <v>263</v>
      </c>
      <c r="G177" s="90" t="s">
        <v>53</v>
      </c>
    </row>
    <row r="178" spans="2:7">
      <c r="B178" s="90" t="s">
        <v>357</v>
      </c>
      <c r="C178" s="90" t="s">
        <v>356</v>
      </c>
      <c r="D178" s="90" t="s">
        <v>50</v>
      </c>
      <c r="E178" s="90" t="s">
        <v>90</v>
      </c>
      <c r="F178" s="90" t="s">
        <v>263</v>
      </c>
      <c r="G178" s="90" t="s">
        <v>53</v>
      </c>
    </row>
    <row r="179" spans="2:7">
      <c r="B179" s="90" t="s">
        <v>360</v>
      </c>
      <c r="C179" s="90" t="s">
        <v>359</v>
      </c>
      <c r="D179" s="90" t="s">
        <v>50</v>
      </c>
      <c r="E179" s="90" t="s">
        <v>90</v>
      </c>
      <c r="F179" s="90" t="s">
        <v>263</v>
      </c>
      <c r="G179" s="90" t="s">
        <v>53</v>
      </c>
    </row>
    <row r="180" spans="2:7">
      <c r="B180" s="90" t="s">
        <v>363</v>
      </c>
      <c r="C180" s="90" t="s">
        <v>362</v>
      </c>
      <c r="D180" s="90" t="s">
        <v>50</v>
      </c>
      <c r="E180" s="90" t="s">
        <v>90</v>
      </c>
      <c r="F180" s="90" t="s">
        <v>263</v>
      </c>
      <c r="G180" s="90" t="s">
        <v>53</v>
      </c>
    </row>
    <row r="181" spans="2:7">
      <c r="B181" s="90" t="s">
        <v>366</v>
      </c>
      <c r="C181" s="90" t="s">
        <v>365</v>
      </c>
      <c r="D181" s="90" t="s">
        <v>50</v>
      </c>
      <c r="E181" s="90" t="s">
        <v>90</v>
      </c>
      <c r="F181" s="90" t="s">
        <v>263</v>
      </c>
      <c r="G181" s="90" t="s">
        <v>53</v>
      </c>
    </row>
    <row r="182" spans="2:7">
      <c r="B182" s="90" t="s">
        <v>369</v>
      </c>
      <c r="C182" s="90" t="s">
        <v>368</v>
      </c>
      <c r="D182" s="90" t="s">
        <v>50</v>
      </c>
      <c r="E182" s="90" t="s">
        <v>90</v>
      </c>
      <c r="F182" s="90" t="s">
        <v>263</v>
      </c>
      <c r="G182" s="90" t="s">
        <v>53</v>
      </c>
    </row>
    <row r="183" spans="2:7">
      <c r="B183" s="90" t="s">
        <v>457</v>
      </c>
      <c r="C183" s="90" t="s">
        <v>560</v>
      </c>
      <c r="D183" s="90" t="s">
        <v>50</v>
      </c>
      <c r="E183" s="90" t="s">
        <v>561</v>
      </c>
      <c r="F183" s="90" t="s">
        <v>263</v>
      </c>
      <c r="G183" s="90" t="s">
        <v>53</v>
      </c>
    </row>
    <row r="184" spans="2:7">
      <c r="B184" s="90" t="s">
        <v>562</v>
      </c>
      <c r="C184" s="90" t="s">
        <v>252</v>
      </c>
      <c r="D184" s="90" t="s">
        <v>50</v>
      </c>
      <c r="E184" s="90" t="s">
        <v>561</v>
      </c>
      <c r="F184" s="90" t="s">
        <v>263</v>
      </c>
      <c r="G184" s="90" t="s">
        <v>53</v>
      </c>
    </row>
    <row r="185" spans="2:7">
      <c r="B185" s="90" t="s">
        <v>508</v>
      </c>
      <c r="C185" s="90" t="s">
        <v>92</v>
      </c>
      <c r="D185" s="90" t="s">
        <v>82</v>
      </c>
      <c r="E185" s="90" t="s">
        <v>93</v>
      </c>
      <c r="F185" s="90" t="s">
        <v>263</v>
      </c>
      <c r="G185" s="90" t="s">
        <v>53</v>
      </c>
    </row>
    <row r="186" spans="2:7">
      <c r="B186" s="90" t="s">
        <v>510</v>
      </c>
      <c r="C186" s="90" t="s">
        <v>162</v>
      </c>
      <c r="D186" s="90" t="s">
        <v>82</v>
      </c>
      <c r="E186" s="90" t="s">
        <v>93</v>
      </c>
      <c r="F186" s="90" t="s">
        <v>263</v>
      </c>
      <c r="G186" s="90" t="s">
        <v>53</v>
      </c>
    </row>
    <row r="187" spans="2:7">
      <c r="B187" s="90" t="s">
        <v>512</v>
      </c>
      <c r="C187" s="90" t="s">
        <v>181</v>
      </c>
      <c r="D187" s="90" t="s">
        <v>82</v>
      </c>
      <c r="E187" s="90" t="s">
        <v>93</v>
      </c>
      <c r="F187" s="90" t="s">
        <v>263</v>
      </c>
      <c r="G187" s="90" t="s">
        <v>53</v>
      </c>
    </row>
    <row r="188" spans="2:7">
      <c r="B188" s="90" t="s">
        <v>514</v>
      </c>
      <c r="C188" s="90" t="s">
        <v>247</v>
      </c>
      <c r="D188" s="90" t="s">
        <v>82</v>
      </c>
      <c r="E188" s="90" t="s">
        <v>93</v>
      </c>
      <c r="F188" s="90" t="s">
        <v>263</v>
      </c>
      <c r="G188" s="90" t="s">
        <v>53</v>
      </c>
    </row>
    <row r="189" spans="2:7">
      <c r="B189" s="90" t="s">
        <v>516</v>
      </c>
      <c r="C189" s="90" t="s">
        <v>386</v>
      </c>
      <c r="D189" s="90" t="s">
        <v>82</v>
      </c>
      <c r="E189" s="90" t="s">
        <v>93</v>
      </c>
      <c r="F189" s="90" t="s">
        <v>263</v>
      </c>
      <c r="G189" s="90" t="s">
        <v>53</v>
      </c>
    </row>
    <row r="190" spans="2:7">
      <c r="B190" s="90" t="s">
        <v>518</v>
      </c>
      <c r="C190" s="90" t="s">
        <v>418</v>
      </c>
      <c r="D190" s="90" t="s">
        <v>82</v>
      </c>
      <c r="E190" s="90" t="s">
        <v>93</v>
      </c>
      <c r="F190" s="90" t="s">
        <v>263</v>
      </c>
      <c r="G190" s="90" t="s">
        <v>53</v>
      </c>
    </row>
    <row r="191" spans="2:7">
      <c r="B191" s="90" t="s">
        <v>520</v>
      </c>
      <c r="C191" s="90" t="s">
        <v>455</v>
      </c>
      <c r="D191" s="90" t="s">
        <v>82</v>
      </c>
      <c r="E191" s="90" t="s">
        <v>93</v>
      </c>
      <c r="F191" s="90" t="s">
        <v>263</v>
      </c>
      <c r="G191" s="90" t="s">
        <v>53</v>
      </c>
    </row>
    <row r="192" spans="2:7">
      <c r="B192" s="90" t="s">
        <v>523</v>
      </c>
      <c r="C192" s="90" t="s">
        <v>522</v>
      </c>
      <c r="D192" s="90" t="s">
        <v>82</v>
      </c>
      <c r="E192" s="90" t="s">
        <v>93</v>
      </c>
      <c r="F192" s="90" t="s">
        <v>263</v>
      </c>
      <c r="G192" s="90" t="s">
        <v>53</v>
      </c>
    </row>
    <row r="193" spans="2:7">
      <c r="B193" s="90" t="s">
        <v>526</v>
      </c>
      <c r="C193" s="90" t="s">
        <v>525</v>
      </c>
      <c r="D193" s="90" t="s">
        <v>82</v>
      </c>
      <c r="E193" s="90" t="s">
        <v>93</v>
      </c>
      <c r="F193" s="90" t="s">
        <v>263</v>
      </c>
      <c r="G193" s="90" t="s">
        <v>53</v>
      </c>
    </row>
    <row r="194" spans="2:7">
      <c r="B194" s="90" t="s">
        <v>529</v>
      </c>
      <c r="C194" s="90" t="s">
        <v>528</v>
      </c>
      <c r="D194" s="90" t="s">
        <v>82</v>
      </c>
      <c r="E194" s="90" t="s">
        <v>93</v>
      </c>
      <c r="F194" s="90" t="s">
        <v>263</v>
      </c>
      <c r="G194" s="90" t="s">
        <v>53</v>
      </c>
    </row>
    <row r="195" spans="2:7">
      <c r="B195" s="90" t="s">
        <v>532</v>
      </c>
      <c r="C195" s="90" t="s">
        <v>531</v>
      </c>
      <c r="D195" s="90" t="s">
        <v>82</v>
      </c>
      <c r="E195" s="90" t="s">
        <v>93</v>
      </c>
      <c r="F195" s="90" t="s">
        <v>263</v>
      </c>
      <c r="G195" s="90" t="s">
        <v>53</v>
      </c>
    </row>
    <row r="196" spans="2:7">
      <c r="B196" s="90" t="s">
        <v>535</v>
      </c>
      <c r="C196" s="90" t="s">
        <v>534</v>
      </c>
      <c r="D196" s="90" t="s">
        <v>82</v>
      </c>
      <c r="E196" s="90" t="s">
        <v>93</v>
      </c>
      <c r="F196" s="90" t="s">
        <v>263</v>
      </c>
      <c r="G196" s="90" t="s">
        <v>53</v>
      </c>
    </row>
    <row r="197" spans="2:7">
      <c r="B197" s="90" t="s">
        <v>163</v>
      </c>
      <c r="C197" s="90" t="s">
        <v>164</v>
      </c>
      <c r="D197" s="90" t="s">
        <v>82</v>
      </c>
      <c r="E197" s="90" t="s">
        <v>51</v>
      </c>
      <c r="F197" s="90" t="s">
        <v>84</v>
      </c>
      <c r="G197" s="90" t="s">
        <v>53</v>
      </c>
    </row>
    <row r="198" spans="2:7">
      <c r="B198" s="90" t="s">
        <v>590</v>
      </c>
      <c r="C198" s="90" t="s">
        <v>591</v>
      </c>
      <c r="D198" s="90" t="s">
        <v>82</v>
      </c>
      <c r="E198" s="90" t="s">
        <v>51</v>
      </c>
      <c r="F198" s="90" t="s">
        <v>84</v>
      </c>
      <c r="G198" s="90" t="s">
        <v>53</v>
      </c>
    </row>
    <row r="199" spans="2:7">
      <c r="B199" s="90" t="s">
        <v>602</v>
      </c>
      <c r="C199" s="90" t="s">
        <v>79</v>
      </c>
      <c r="D199" s="90" t="s">
        <v>82</v>
      </c>
      <c r="E199" s="90" t="s">
        <v>51</v>
      </c>
      <c r="F199" s="90" t="s">
        <v>84</v>
      </c>
      <c r="G199" s="90" t="s">
        <v>53</v>
      </c>
    </row>
    <row r="200" spans="2:7">
      <c r="B200" s="90" t="s">
        <v>143</v>
      </c>
      <c r="C200" s="90" t="s">
        <v>144</v>
      </c>
      <c r="D200" s="90" t="s">
        <v>82</v>
      </c>
      <c r="E200" s="90" t="s">
        <v>96</v>
      </c>
      <c r="F200" s="90" t="s">
        <v>84</v>
      </c>
      <c r="G200" s="90" t="s">
        <v>53</v>
      </c>
    </row>
    <row r="201" spans="2:7">
      <c r="B201" s="90" t="s">
        <v>165</v>
      </c>
      <c r="C201" s="90" t="s">
        <v>166</v>
      </c>
      <c r="D201" s="90" t="s">
        <v>82</v>
      </c>
      <c r="E201" s="90" t="s">
        <v>96</v>
      </c>
      <c r="F201" s="90" t="s">
        <v>84</v>
      </c>
      <c r="G201" s="90" t="s">
        <v>53</v>
      </c>
    </row>
    <row r="202" spans="2:7">
      <c r="B202" s="90" t="s">
        <v>372</v>
      </c>
      <c r="C202" s="90" t="s">
        <v>373</v>
      </c>
      <c r="D202" s="90" t="s">
        <v>82</v>
      </c>
      <c r="E202" s="90" t="s">
        <v>96</v>
      </c>
      <c r="F202" s="90" t="s">
        <v>84</v>
      </c>
      <c r="G202" s="90" t="s">
        <v>53</v>
      </c>
    </row>
    <row r="203" spans="2:7">
      <c r="B203" s="90" t="s">
        <v>563</v>
      </c>
      <c r="C203" s="90" t="s">
        <v>564</v>
      </c>
      <c r="D203" s="90" t="s">
        <v>82</v>
      </c>
      <c r="E203" s="90" t="s">
        <v>96</v>
      </c>
      <c r="F203" s="90" t="s">
        <v>84</v>
      </c>
      <c r="G203" s="90" t="s">
        <v>53</v>
      </c>
    </row>
    <row r="204" spans="2:7">
      <c r="B204" s="90" t="s">
        <v>581</v>
      </c>
      <c r="C204" s="90" t="s">
        <v>582</v>
      </c>
      <c r="D204" s="90" t="s">
        <v>82</v>
      </c>
      <c r="E204" s="90" t="s">
        <v>96</v>
      </c>
      <c r="F204" s="90" t="s">
        <v>84</v>
      </c>
      <c r="G204" s="90" t="s">
        <v>53</v>
      </c>
    </row>
    <row r="205" spans="2:7">
      <c r="B205" s="90" t="s">
        <v>592</v>
      </c>
      <c r="C205" s="90" t="s">
        <v>593</v>
      </c>
      <c r="D205" s="90" t="s">
        <v>82</v>
      </c>
      <c r="E205" s="90" t="s">
        <v>96</v>
      </c>
      <c r="F205" s="90" t="s">
        <v>84</v>
      </c>
      <c r="G205" s="90" t="s">
        <v>53</v>
      </c>
    </row>
    <row r="206" spans="2:7">
      <c r="B206" s="90" t="s">
        <v>603</v>
      </c>
      <c r="C206" s="90" t="s">
        <v>604</v>
      </c>
      <c r="D206" s="90" t="s">
        <v>82</v>
      </c>
      <c r="E206" s="90" t="s">
        <v>96</v>
      </c>
      <c r="F206" s="90" t="s">
        <v>84</v>
      </c>
      <c r="G206" s="90" t="s">
        <v>53</v>
      </c>
    </row>
    <row r="207" spans="2:7">
      <c r="B207" s="90" t="s">
        <v>145</v>
      </c>
      <c r="C207" s="90" t="s">
        <v>113</v>
      </c>
      <c r="D207" s="90" t="s">
        <v>82</v>
      </c>
      <c r="E207" s="90" t="s">
        <v>114</v>
      </c>
      <c r="F207" s="90" t="s">
        <v>84</v>
      </c>
      <c r="G207" s="90" t="s">
        <v>53</v>
      </c>
    </row>
    <row r="208" spans="2:7">
      <c r="B208" s="90" t="s">
        <v>167</v>
      </c>
      <c r="C208" s="90" t="s">
        <v>116</v>
      </c>
      <c r="D208" s="90" t="s">
        <v>82</v>
      </c>
      <c r="E208" s="90" t="s">
        <v>114</v>
      </c>
      <c r="F208" s="90" t="s">
        <v>84</v>
      </c>
      <c r="G208" s="90" t="s">
        <v>53</v>
      </c>
    </row>
    <row r="209" spans="2:7">
      <c r="B209" s="90" t="s">
        <v>374</v>
      </c>
      <c r="C209" s="90" t="s">
        <v>118</v>
      </c>
      <c r="D209" s="90" t="s">
        <v>82</v>
      </c>
      <c r="E209" s="90" t="s">
        <v>114</v>
      </c>
      <c r="F209" s="90" t="s">
        <v>84</v>
      </c>
      <c r="G209" s="90" t="s">
        <v>53</v>
      </c>
    </row>
    <row r="210" spans="2:7">
      <c r="B210" s="90" t="s">
        <v>565</v>
      </c>
      <c r="C210" s="90" t="s">
        <v>138</v>
      </c>
      <c r="D210" s="90" t="s">
        <v>82</v>
      </c>
      <c r="E210" s="90" t="s">
        <v>114</v>
      </c>
      <c r="F210" s="90" t="s">
        <v>84</v>
      </c>
      <c r="G210" s="90" t="s">
        <v>53</v>
      </c>
    </row>
    <row r="211" spans="2:7">
      <c r="B211" s="90" t="s">
        <v>594</v>
      </c>
      <c r="C211" s="90" t="s">
        <v>140</v>
      </c>
      <c r="D211" s="90" t="s">
        <v>82</v>
      </c>
      <c r="E211" s="90" t="s">
        <v>114</v>
      </c>
      <c r="F211" s="90" t="s">
        <v>84</v>
      </c>
      <c r="G211" s="90" t="s">
        <v>53</v>
      </c>
    </row>
    <row r="212" spans="2:7">
      <c r="B212" s="90" t="s">
        <v>605</v>
      </c>
      <c r="C212" s="90" t="s">
        <v>142</v>
      </c>
      <c r="D212" s="90" t="s">
        <v>82</v>
      </c>
      <c r="E212" s="90" t="s">
        <v>114</v>
      </c>
      <c r="F212" s="90" t="s">
        <v>84</v>
      </c>
      <c r="G212" s="90" t="s">
        <v>53</v>
      </c>
    </row>
    <row r="213" spans="2:7">
      <c r="B213" s="109" t="s">
        <v>80</v>
      </c>
      <c r="C213" s="109" t="s">
        <v>81</v>
      </c>
      <c r="D213" s="109" t="s">
        <v>82</v>
      </c>
      <c r="E213" s="109" t="s">
        <v>83</v>
      </c>
      <c r="F213" s="109" t="s">
        <v>84</v>
      </c>
      <c r="G213" s="109" t="s">
        <v>53</v>
      </c>
    </row>
    <row r="214" spans="2:7">
      <c r="B214" s="109" t="s">
        <v>146</v>
      </c>
      <c r="C214" s="109" t="s">
        <v>147</v>
      </c>
      <c r="D214" s="109" t="s">
        <v>82</v>
      </c>
      <c r="E214" s="109" t="s">
        <v>83</v>
      </c>
      <c r="F214" s="109" t="s">
        <v>84</v>
      </c>
      <c r="G214" s="109" t="s">
        <v>53</v>
      </c>
    </row>
    <row r="215" spans="2:7">
      <c r="B215" s="109" t="s">
        <v>168</v>
      </c>
      <c r="C215" s="109" t="s">
        <v>169</v>
      </c>
      <c r="D215" s="109" t="s">
        <v>82</v>
      </c>
      <c r="E215" s="109" t="s">
        <v>83</v>
      </c>
      <c r="F215" s="109" t="s">
        <v>84</v>
      </c>
      <c r="G215" s="109" t="s">
        <v>53</v>
      </c>
    </row>
    <row r="216" spans="2:7">
      <c r="B216" s="109" t="s">
        <v>238</v>
      </c>
      <c r="C216" s="109" t="s">
        <v>239</v>
      </c>
      <c r="D216" s="109" t="s">
        <v>82</v>
      </c>
      <c r="E216" s="109" t="s">
        <v>83</v>
      </c>
      <c r="F216" s="109" t="s">
        <v>84</v>
      </c>
      <c r="G216" s="109" t="s">
        <v>53</v>
      </c>
    </row>
    <row r="217" spans="2:7">
      <c r="B217" s="109" t="s">
        <v>370</v>
      </c>
      <c r="C217" s="109" t="s">
        <v>371</v>
      </c>
      <c r="D217" s="109" t="s">
        <v>82</v>
      </c>
      <c r="E217" s="109" t="s">
        <v>83</v>
      </c>
      <c r="F217" s="109" t="s">
        <v>84</v>
      </c>
      <c r="G217" s="109" t="s">
        <v>53</v>
      </c>
    </row>
    <row r="218" spans="2:7">
      <c r="B218" s="109" t="s">
        <v>375</v>
      </c>
      <c r="C218" s="109" t="s">
        <v>376</v>
      </c>
      <c r="D218" s="109" t="s">
        <v>82</v>
      </c>
      <c r="E218" s="109" t="s">
        <v>83</v>
      </c>
      <c r="F218" s="109" t="s">
        <v>84</v>
      </c>
      <c r="G218" s="109" t="s">
        <v>53</v>
      </c>
    </row>
    <row r="219" spans="2:7">
      <c r="B219" s="109" t="s">
        <v>387</v>
      </c>
      <c r="C219" s="109" t="s">
        <v>388</v>
      </c>
      <c r="D219" s="109" t="s">
        <v>82</v>
      </c>
      <c r="E219" s="109" t="s">
        <v>83</v>
      </c>
      <c r="F219" s="109" t="s">
        <v>84</v>
      </c>
      <c r="G219" s="109" t="s">
        <v>53</v>
      </c>
    </row>
    <row r="220" spans="2:7">
      <c r="B220" s="109" t="s">
        <v>413</v>
      </c>
      <c r="C220" s="109" t="s">
        <v>414</v>
      </c>
      <c r="D220" s="109" t="s">
        <v>82</v>
      </c>
      <c r="E220" s="109" t="s">
        <v>83</v>
      </c>
      <c r="F220" s="109" t="s">
        <v>84</v>
      </c>
      <c r="G220" s="109" t="s">
        <v>53</v>
      </c>
    </row>
    <row r="221" spans="2:7">
      <c r="B221" s="109" t="s">
        <v>445</v>
      </c>
      <c r="C221" s="109" t="s">
        <v>446</v>
      </c>
      <c r="D221" s="109" t="s">
        <v>82</v>
      </c>
      <c r="E221" s="109" t="s">
        <v>83</v>
      </c>
      <c r="F221" s="109" t="s">
        <v>84</v>
      </c>
      <c r="G221" s="109" t="s">
        <v>53</v>
      </c>
    </row>
    <row r="222" spans="2:7">
      <c r="B222" s="109" t="s">
        <v>447</v>
      </c>
      <c r="C222" s="109" t="s">
        <v>448</v>
      </c>
      <c r="D222" s="109" t="s">
        <v>82</v>
      </c>
      <c r="E222" s="109" t="s">
        <v>83</v>
      </c>
      <c r="F222" s="109" t="s">
        <v>84</v>
      </c>
      <c r="G222" s="109" t="s">
        <v>53</v>
      </c>
    </row>
    <row r="223" spans="2:7">
      <c r="B223" s="109" t="s">
        <v>541</v>
      </c>
      <c r="C223" s="109" t="s">
        <v>542</v>
      </c>
      <c r="D223" s="109" t="s">
        <v>82</v>
      </c>
      <c r="E223" s="109" t="s">
        <v>83</v>
      </c>
      <c r="F223" s="109" t="s">
        <v>84</v>
      </c>
      <c r="G223" s="109" t="s">
        <v>53</v>
      </c>
    </row>
    <row r="224" spans="2:7">
      <c r="B224" s="109" t="s">
        <v>566</v>
      </c>
      <c r="C224" s="109" t="s">
        <v>567</v>
      </c>
      <c r="D224" s="109" t="s">
        <v>82</v>
      </c>
      <c r="E224" s="109" t="s">
        <v>83</v>
      </c>
      <c r="F224" s="109" t="s">
        <v>84</v>
      </c>
      <c r="G224" s="109" t="s">
        <v>53</v>
      </c>
    </row>
    <row r="225" spans="2:7">
      <c r="B225" s="109" t="s">
        <v>576</v>
      </c>
      <c r="C225" s="109" t="s">
        <v>577</v>
      </c>
      <c r="D225" s="109" t="s">
        <v>82</v>
      </c>
      <c r="E225" s="109" t="s">
        <v>83</v>
      </c>
      <c r="F225" s="109" t="s">
        <v>84</v>
      </c>
      <c r="G225" s="109" t="s">
        <v>53</v>
      </c>
    </row>
    <row r="226" spans="2:7">
      <c r="B226" s="109" t="s">
        <v>583</v>
      </c>
      <c r="C226" s="109" t="s">
        <v>584</v>
      </c>
      <c r="D226" s="109" t="s">
        <v>82</v>
      </c>
      <c r="E226" s="109" t="s">
        <v>83</v>
      </c>
      <c r="F226" s="109" t="s">
        <v>84</v>
      </c>
      <c r="G226" s="109" t="s">
        <v>53</v>
      </c>
    </row>
    <row r="227" spans="2:7">
      <c r="B227" s="109" t="s">
        <v>595</v>
      </c>
      <c r="C227" s="109" t="s">
        <v>596</v>
      </c>
      <c r="D227" s="109" t="s">
        <v>82</v>
      </c>
      <c r="E227" s="109" t="s">
        <v>83</v>
      </c>
      <c r="F227" s="109" t="s">
        <v>84</v>
      </c>
      <c r="G227" s="109" t="s">
        <v>53</v>
      </c>
    </row>
    <row r="228" spans="2:7">
      <c r="B228" s="109" t="s">
        <v>606</v>
      </c>
      <c r="C228" s="109" t="s">
        <v>607</v>
      </c>
      <c r="D228" s="109" t="s">
        <v>82</v>
      </c>
      <c r="E228" s="109" t="s">
        <v>83</v>
      </c>
      <c r="F228" s="109" t="s">
        <v>84</v>
      </c>
      <c r="G228" s="109" t="s">
        <v>53</v>
      </c>
    </row>
    <row r="229" spans="2:7">
      <c r="B229" s="90" t="s">
        <v>148</v>
      </c>
      <c r="C229" s="90" t="s">
        <v>149</v>
      </c>
      <c r="D229" s="90" t="s">
        <v>82</v>
      </c>
      <c r="E229" s="90" t="s">
        <v>150</v>
      </c>
      <c r="F229" s="90" t="s">
        <v>84</v>
      </c>
      <c r="G229" s="90" t="s">
        <v>53</v>
      </c>
    </row>
    <row r="230" spans="2:7">
      <c r="B230" s="90" t="s">
        <v>170</v>
      </c>
      <c r="C230" s="90" t="s">
        <v>171</v>
      </c>
      <c r="D230" s="90" t="s">
        <v>82</v>
      </c>
      <c r="E230" s="90" t="s">
        <v>150</v>
      </c>
      <c r="F230" s="90" t="s">
        <v>84</v>
      </c>
      <c r="G230" s="90" t="s">
        <v>53</v>
      </c>
    </row>
    <row r="231" spans="2:7">
      <c r="B231" s="90" t="s">
        <v>377</v>
      </c>
      <c r="C231" s="90" t="s">
        <v>378</v>
      </c>
      <c r="D231" s="90" t="s">
        <v>82</v>
      </c>
      <c r="E231" s="90" t="s">
        <v>150</v>
      </c>
      <c r="F231" s="90" t="s">
        <v>84</v>
      </c>
      <c r="G231" s="90" t="s">
        <v>53</v>
      </c>
    </row>
    <row r="232" spans="2:7">
      <c r="B232" s="90" t="s">
        <v>411</v>
      </c>
      <c r="C232" s="90" t="s">
        <v>412</v>
      </c>
      <c r="D232" s="90" t="s">
        <v>82</v>
      </c>
      <c r="E232" s="90" t="s">
        <v>150</v>
      </c>
      <c r="F232" s="90" t="s">
        <v>84</v>
      </c>
      <c r="G232" s="90" t="s">
        <v>53</v>
      </c>
    </row>
    <row r="233" spans="2:7">
      <c r="B233" s="90" t="s">
        <v>568</v>
      </c>
      <c r="C233" s="90" t="s">
        <v>569</v>
      </c>
      <c r="D233" s="90" t="s">
        <v>82</v>
      </c>
      <c r="E233" s="90" t="s">
        <v>150</v>
      </c>
      <c r="F233" s="90" t="s">
        <v>84</v>
      </c>
      <c r="G233" s="90" t="s">
        <v>53</v>
      </c>
    </row>
    <row r="234" spans="2:7">
      <c r="B234" s="90" t="s">
        <v>597</v>
      </c>
      <c r="C234" s="90" t="s">
        <v>598</v>
      </c>
      <c r="D234" s="90" t="s">
        <v>82</v>
      </c>
      <c r="E234" s="90" t="s">
        <v>150</v>
      </c>
      <c r="F234" s="90" t="s">
        <v>84</v>
      </c>
      <c r="G234" s="90" t="s">
        <v>53</v>
      </c>
    </row>
    <row r="235" spans="2:7">
      <c r="B235" s="90" t="s">
        <v>608</v>
      </c>
      <c r="C235" s="90" t="s">
        <v>609</v>
      </c>
      <c r="D235" s="90" t="s">
        <v>82</v>
      </c>
      <c r="E235" s="90" t="s">
        <v>150</v>
      </c>
      <c r="F235" s="90" t="s">
        <v>84</v>
      </c>
      <c r="G235" s="90" t="s">
        <v>53</v>
      </c>
    </row>
    <row r="236" spans="2:7">
      <c r="B236" s="90" t="s">
        <v>85</v>
      </c>
      <c r="C236" s="90" t="s">
        <v>86</v>
      </c>
      <c r="D236" s="90" t="s">
        <v>82</v>
      </c>
      <c r="E236" s="90" t="s">
        <v>87</v>
      </c>
      <c r="F236" s="90" t="s">
        <v>84</v>
      </c>
      <c r="G236" s="90" t="s">
        <v>53</v>
      </c>
    </row>
    <row r="237" spans="2:7">
      <c r="B237" s="90" t="s">
        <v>151</v>
      </c>
      <c r="C237" s="90" t="s">
        <v>152</v>
      </c>
      <c r="D237" s="90" t="s">
        <v>82</v>
      </c>
      <c r="E237" s="90" t="s">
        <v>87</v>
      </c>
      <c r="F237" s="90" t="s">
        <v>84</v>
      </c>
      <c r="G237" s="90" t="s">
        <v>53</v>
      </c>
    </row>
    <row r="238" spans="2:7">
      <c r="B238" s="90" t="s">
        <v>172</v>
      </c>
      <c r="C238" s="90" t="s">
        <v>173</v>
      </c>
      <c r="D238" s="90" t="s">
        <v>82</v>
      </c>
      <c r="E238" s="90" t="s">
        <v>87</v>
      </c>
      <c r="F238" s="90" t="s">
        <v>84</v>
      </c>
      <c r="G238" s="90" t="s">
        <v>53</v>
      </c>
    </row>
    <row r="239" spans="2:7">
      <c r="B239" s="90" t="s">
        <v>240</v>
      </c>
      <c r="C239" s="90" t="s">
        <v>241</v>
      </c>
      <c r="D239" s="90" t="s">
        <v>82</v>
      </c>
      <c r="E239" s="90" t="s">
        <v>87</v>
      </c>
      <c r="F239" s="90" t="s">
        <v>84</v>
      </c>
      <c r="G239" s="90" t="s">
        <v>53</v>
      </c>
    </row>
    <row r="240" spans="2:7">
      <c r="B240" s="90" t="s">
        <v>379</v>
      </c>
      <c r="C240" s="90" t="s">
        <v>315</v>
      </c>
      <c r="D240" s="90" t="s">
        <v>82</v>
      </c>
      <c r="E240" s="90" t="s">
        <v>87</v>
      </c>
      <c r="F240" s="90" t="s">
        <v>84</v>
      </c>
      <c r="G240" s="90" t="s">
        <v>53</v>
      </c>
    </row>
    <row r="241" spans="2:7">
      <c r="B241" s="90" t="s">
        <v>415</v>
      </c>
      <c r="C241" s="90" t="s">
        <v>318</v>
      </c>
      <c r="D241" s="90" t="s">
        <v>82</v>
      </c>
      <c r="E241" s="90" t="s">
        <v>87</v>
      </c>
      <c r="F241" s="90" t="s">
        <v>84</v>
      </c>
      <c r="G241" s="90" t="s">
        <v>53</v>
      </c>
    </row>
    <row r="242" spans="2:7">
      <c r="B242" s="90" t="s">
        <v>449</v>
      </c>
      <c r="C242" s="90" t="s">
        <v>321</v>
      </c>
      <c r="D242" s="90" t="s">
        <v>82</v>
      </c>
      <c r="E242" s="90" t="s">
        <v>87</v>
      </c>
      <c r="F242" s="90" t="s">
        <v>84</v>
      </c>
      <c r="G242" s="90" t="s">
        <v>53</v>
      </c>
    </row>
    <row r="243" spans="2:7">
      <c r="B243" s="90" t="s">
        <v>547</v>
      </c>
      <c r="C243" s="90" t="s">
        <v>324</v>
      </c>
      <c r="D243" s="90" t="s">
        <v>82</v>
      </c>
      <c r="E243" s="90" t="s">
        <v>87</v>
      </c>
      <c r="F243" s="90" t="s">
        <v>84</v>
      </c>
      <c r="G243" s="90" t="s">
        <v>53</v>
      </c>
    </row>
    <row r="244" spans="2:7">
      <c r="B244" s="90" t="s">
        <v>570</v>
      </c>
      <c r="C244" s="90" t="s">
        <v>327</v>
      </c>
      <c r="D244" s="90" t="s">
        <v>82</v>
      </c>
      <c r="E244" s="90" t="s">
        <v>87</v>
      </c>
      <c r="F244" s="90" t="s">
        <v>84</v>
      </c>
      <c r="G244" s="90" t="s">
        <v>53</v>
      </c>
    </row>
    <row r="245" spans="2:7">
      <c r="B245" s="90" t="s">
        <v>578</v>
      </c>
      <c r="C245" s="90" t="s">
        <v>330</v>
      </c>
      <c r="D245" s="90" t="s">
        <v>82</v>
      </c>
      <c r="E245" s="90" t="s">
        <v>87</v>
      </c>
      <c r="F245" s="90" t="s">
        <v>84</v>
      </c>
      <c r="G245" s="90" t="s">
        <v>53</v>
      </c>
    </row>
    <row r="246" spans="2:7">
      <c r="B246" s="90" t="s">
        <v>585</v>
      </c>
      <c r="C246" s="90" t="s">
        <v>333</v>
      </c>
      <c r="D246" s="90" t="s">
        <v>82</v>
      </c>
      <c r="E246" s="90" t="s">
        <v>87</v>
      </c>
      <c r="F246" s="90" t="s">
        <v>84</v>
      </c>
      <c r="G246" s="90" t="s">
        <v>53</v>
      </c>
    </row>
    <row r="247" spans="2:7">
      <c r="B247" s="90" t="s">
        <v>610</v>
      </c>
      <c r="C247" s="90" t="s">
        <v>336</v>
      </c>
      <c r="D247" s="90" t="s">
        <v>82</v>
      </c>
      <c r="E247" s="90" t="s">
        <v>87</v>
      </c>
      <c r="F247" s="90" t="s">
        <v>84</v>
      </c>
      <c r="G247" s="90" t="s">
        <v>53</v>
      </c>
    </row>
    <row r="248" spans="2:7">
      <c r="B248" s="90" t="s">
        <v>88</v>
      </c>
      <c r="C248" s="90" t="s">
        <v>89</v>
      </c>
      <c r="D248" s="90" t="s">
        <v>82</v>
      </c>
      <c r="E248" s="90" t="s">
        <v>90</v>
      </c>
      <c r="F248" s="90" t="s">
        <v>84</v>
      </c>
      <c r="G248" s="90" t="s">
        <v>53</v>
      </c>
    </row>
    <row r="249" spans="2:7">
      <c r="B249" s="90" t="s">
        <v>153</v>
      </c>
      <c r="C249" s="90" t="s">
        <v>154</v>
      </c>
      <c r="D249" s="90" t="s">
        <v>82</v>
      </c>
      <c r="E249" s="90" t="s">
        <v>90</v>
      </c>
      <c r="F249" s="90" t="s">
        <v>84</v>
      </c>
      <c r="G249" s="90" t="s">
        <v>53</v>
      </c>
    </row>
    <row r="250" spans="2:7">
      <c r="B250" s="90" t="s">
        <v>174</v>
      </c>
      <c r="C250" s="90" t="s">
        <v>175</v>
      </c>
      <c r="D250" s="90" t="s">
        <v>82</v>
      </c>
      <c r="E250" s="90" t="s">
        <v>90</v>
      </c>
      <c r="F250" s="90" t="s">
        <v>84</v>
      </c>
      <c r="G250" s="90" t="s">
        <v>53</v>
      </c>
    </row>
    <row r="251" spans="2:7">
      <c r="B251" s="90" t="s">
        <v>242</v>
      </c>
      <c r="C251" s="90" t="s">
        <v>243</v>
      </c>
      <c r="D251" s="90" t="s">
        <v>82</v>
      </c>
      <c r="E251" s="90" t="s">
        <v>90</v>
      </c>
      <c r="F251" s="90" t="s">
        <v>84</v>
      </c>
      <c r="G251" s="90" t="s">
        <v>53</v>
      </c>
    </row>
    <row r="252" spans="2:7">
      <c r="B252" s="90" t="s">
        <v>338</v>
      </c>
      <c r="C252" s="90" t="s">
        <v>89</v>
      </c>
      <c r="D252" s="90" t="s">
        <v>82</v>
      </c>
      <c r="E252" s="90" t="s">
        <v>90</v>
      </c>
      <c r="F252" s="90" t="s">
        <v>84</v>
      </c>
      <c r="G252" s="90" t="s">
        <v>53</v>
      </c>
    </row>
    <row r="253" spans="2:7">
      <c r="B253" s="90" t="s">
        <v>340</v>
      </c>
      <c r="C253" s="90" t="s">
        <v>154</v>
      </c>
      <c r="D253" s="90" t="s">
        <v>82</v>
      </c>
      <c r="E253" s="90" t="s">
        <v>90</v>
      </c>
      <c r="F253" s="90" t="s">
        <v>84</v>
      </c>
      <c r="G253" s="90" t="s">
        <v>53</v>
      </c>
    </row>
    <row r="254" spans="2:7">
      <c r="B254" s="90" t="s">
        <v>342</v>
      </c>
      <c r="C254" s="90" t="s">
        <v>175</v>
      </c>
      <c r="D254" s="90" t="s">
        <v>82</v>
      </c>
      <c r="E254" s="90" t="s">
        <v>90</v>
      </c>
      <c r="F254" s="90" t="s">
        <v>84</v>
      </c>
      <c r="G254" s="90" t="s">
        <v>53</v>
      </c>
    </row>
    <row r="255" spans="2:7">
      <c r="B255" s="90" t="s">
        <v>344</v>
      </c>
      <c r="C255" s="90" t="s">
        <v>243</v>
      </c>
      <c r="D255" s="90" t="s">
        <v>82</v>
      </c>
      <c r="E255" s="90" t="s">
        <v>90</v>
      </c>
      <c r="F255" s="90" t="s">
        <v>84</v>
      </c>
      <c r="G255" s="90" t="s">
        <v>53</v>
      </c>
    </row>
    <row r="256" spans="2:7">
      <c r="B256" s="90" t="s">
        <v>346</v>
      </c>
      <c r="C256" s="90" t="s">
        <v>347</v>
      </c>
      <c r="D256" s="90" t="s">
        <v>82</v>
      </c>
      <c r="E256" s="90" t="s">
        <v>90</v>
      </c>
      <c r="F256" s="90" t="s">
        <v>84</v>
      </c>
      <c r="G256" s="90" t="s">
        <v>53</v>
      </c>
    </row>
    <row r="257" spans="2:7">
      <c r="B257" s="90" t="s">
        <v>349</v>
      </c>
      <c r="C257" s="90" t="s">
        <v>350</v>
      </c>
      <c r="D257" s="90" t="s">
        <v>82</v>
      </c>
      <c r="E257" s="90" t="s">
        <v>90</v>
      </c>
      <c r="F257" s="90" t="s">
        <v>84</v>
      </c>
      <c r="G257" s="90" t="s">
        <v>53</v>
      </c>
    </row>
    <row r="258" spans="2:7">
      <c r="B258" s="90" t="s">
        <v>352</v>
      </c>
      <c r="C258" s="90" t="s">
        <v>353</v>
      </c>
      <c r="D258" s="90" t="s">
        <v>82</v>
      </c>
      <c r="E258" s="90" t="s">
        <v>90</v>
      </c>
      <c r="F258" s="90" t="s">
        <v>84</v>
      </c>
      <c r="G258" s="90" t="s">
        <v>53</v>
      </c>
    </row>
    <row r="259" spans="2:7">
      <c r="B259" s="90" t="s">
        <v>355</v>
      </c>
      <c r="C259" s="90" t="s">
        <v>356</v>
      </c>
      <c r="D259" s="90" t="s">
        <v>82</v>
      </c>
      <c r="E259" s="90" t="s">
        <v>90</v>
      </c>
      <c r="F259" s="90" t="s">
        <v>84</v>
      </c>
      <c r="G259" s="90" t="s">
        <v>53</v>
      </c>
    </row>
    <row r="260" spans="2:7">
      <c r="B260" s="90" t="s">
        <v>358</v>
      </c>
      <c r="C260" s="90" t="s">
        <v>359</v>
      </c>
      <c r="D260" s="90" t="s">
        <v>82</v>
      </c>
      <c r="E260" s="90" t="s">
        <v>90</v>
      </c>
      <c r="F260" s="90" t="s">
        <v>84</v>
      </c>
      <c r="G260" s="90" t="s">
        <v>53</v>
      </c>
    </row>
    <row r="261" spans="2:7">
      <c r="B261" s="90" t="s">
        <v>361</v>
      </c>
      <c r="C261" s="90" t="s">
        <v>362</v>
      </c>
      <c r="D261" s="90" t="s">
        <v>82</v>
      </c>
      <c r="E261" s="90" t="s">
        <v>90</v>
      </c>
      <c r="F261" s="90" t="s">
        <v>84</v>
      </c>
      <c r="G261" s="90" t="s">
        <v>53</v>
      </c>
    </row>
    <row r="262" spans="2:7">
      <c r="B262" s="90" t="s">
        <v>364</v>
      </c>
      <c r="C262" s="90" t="s">
        <v>365</v>
      </c>
      <c r="D262" s="90" t="s">
        <v>82</v>
      </c>
      <c r="E262" s="90" t="s">
        <v>90</v>
      </c>
      <c r="F262" s="90" t="s">
        <v>84</v>
      </c>
      <c r="G262" s="90" t="s">
        <v>53</v>
      </c>
    </row>
    <row r="263" spans="2:7">
      <c r="B263" s="90" t="s">
        <v>367</v>
      </c>
      <c r="C263" s="90" t="s">
        <v>368</v>
      </c>
      <c r="D263" s="90" t="s">
        <v>82</v>
      </c>
      <c r="E263" s="90" t="s">
        <v>90</v>
      </c>
      <c r="F263" s="90" t="s">
        <v>84</v>
      </c>
      <c r="G263" s="90" t="s">
        <v>53</v>
      </c>
    </row>
    <row r="264" spans="2:7">
      <c r="B264" s="90" t="s">
        <v>380</v>
      </c>
      <c r="C264" s="90" t="s">
        <v>347</v>
      </c>
      <c r="D264" s="90" t="s">
        <v>82</v>
      </c>
      <c r="E264" s="90" t="s">
        <v>90</v>
      </c>
      <c r="F264" s="90" t="s">
        <v>84</v>
      </c>
      <c r="G264" s="90" t="s">
        <v>53</v>
      </c>
    </row>
    <row r="265" spans="2:7">
      <c r="B265" s="90" t="s">
        <v>416</v>
      </c>
      <c r="C265" s="90" t="s">
        <v>350</v>
      </c>
      <c r="D265" s="90" t="s">
        <v>82</v>
      </c>
      <c r="E265" s="90" t="s">
        <v>90</v>
      </c>
      <c r="F265" s="90" t="s">
        <v>84</v>
      </c>
      <c r="G265" s="90" t="s">
        <v>53</v>
      </c>
    </row>
    <row r="266" spans="2:7">
      <c r="B266" s="90" t="s">
        <v>450</v>
      </c>
      <c r="C266" s="90" t="s">
        <v>356</v>
      </c>
      <c r="D266" s="90" t="s">
        <v>82</v>
      </c>
      <c r="E266" s="90" t="s">
        <v>90</v>
      </c>
      <c r="F266" s="90" t="s">
        <v>84</v>
      </c>
      <c r="G266" s="90" t="s">
        <v>53</v>
      </c>
    </row>
    <row r="267" spans="2:7">
      <c r="B267" s="90" t="s">
        <v>548</v>
      </c>
      <c r="C267" s="90" t="s">
        <v>353</v>
      </c>
      <c r="D267" s="90" t="s">
        <v>82</v>
      </c>
      <c r="E267" s="90" t="s">
        <v>90</v>
      </c>
      <c r="F267" s="90" t="s">
        <v>84</v>
      </c>
      <c r="G267" s="90" t="s">
        <v>53</v>
      </c>
    </row>
    <row r="268" spans="2:7">
      <c r="B268" s="90" t="s">
        <v>571</v>
      </c>
      <c r="C268" s="90" t="s">
        <v>359</v>
      </c>
      <c r="D268" s="90" t="s">
        <v>82</v>
      </c>
      <c r="E268" s="90" t="s">
        <v>90</v>
      </c>
      <c r="F268" s="90" t="s">
        <v>84</v>
      </c>
      <c r="G268" s="90" t="s">
        <v>53</v>
      </c>
    </row>
    <row r="269" spans="2:7">
      <c r="B269" s="90" t="s">
        <v>579</v>
      </c>
      <c r="C269" s="90" t="s">
        <v>362</v>
      </c>
      <c r="D269" s="90" t="s">
        <v>82</v>
      </c>
      <c r="E269" s="90" t="s">
        <v>90</v>
      </c>
      <c r="F269" s="90" t="s">
        <v>84</v>
      </c>
      <c r="G269" s="90" t="s">
        <v>53</v>
      </c>
    </row>
    <row r="270" spans="2:7">
      <c r="B270" s="90" t="s">
        <v>586</v>
      </c>
      <c r="C270" s="90" t="s">
        <v>365</v>
      </c>
      <c r="D270" s="90" t="s">
        <v>82</v>
      </c>
      <c r="E270" s="90" t="s">
        <v>90</v>
      </c>
      <c r="F270" s="90" t="s">
        <v>84</v>
      </c>
      <c r="G270" s="90" t="s">
        <v>53</v>
      </c>
    </row>
    <row r="271" spans="2:7">
      <c r="B271" s="90" t="s">
        <v>611</v>
      </c>
      <c r="C271" s="90" t="s">
        <v>368</v>
      </c>
      <c r="D271" s="90" t="s">
        <v>82</v>
      </c>
      <c r="E271" s="90" t="s">
        <v>90</v>
      </c>
      <c r="F271" s="90" t="s">
        <v>84</v>
      </c>
      <c r="G271" s="90" t="s">
        <v>53</v>
      </c>
    </row>
    <row r="272" spans="2:7">
      <c r="B272" s="90" t="s">
        <v>155</v>
      </c>
      <c r="C272" s="90" t="s">
        <v>156</v>
      </c>
      <c r="D272" s="90" t="s">
        <v>82</v>
      </c>
      <c r="E272" s="90" t="s">
        <v>157</v>
      </c>
      <c r="F272" s="90" t="s">
        <v>84</v>
      </c>
      <c r="G272" s="90" t="s">
        <v>53</v>
      </c>
    </row>
    <row r="273" spans="2:7">
      <c r="B273" s="90" t="s">
        <v>176</v>
      </c>
      <c r="C273" s="90" t="s">
        <v>177</v>
      </c>
      <c r="D273" s="90" t="s">
        <v>82</v>
      </c>
      <c r="E273" s="90" t="s">
        <v>157</v>
      </c>
      <c r="F273" s="90" t="s">
        <v>84</v>
      </c>
      <c r="G273" s="90" t="s">
        <v>53</v>
      </c>
    </row>
    <row r="274" spans="2:7">
      <c r="B274" s="90" t="s">
        <v>381</v>
      </c>
      <c r="C274" s="90" t="s">
        <v>382</v>
      </c>
      <c r="D274" s="90" t="s">
        <v>82</v>
      </c>
      <c r="E274" s="90" t="s">
        <v>157</v>
      </c>
      <c r="F274" s="90" t="s">
        <v>84</v>
      </c>
      <c r="G274" s="90" t="s">
        <v>53</v>
      </c>
    </row>
    <row r="275" spans="2:7">
      <c r="B275" s="90" t="s">
        <v>451</v>
      </c>
      <c r="C275" s="90" t="s">
        <v>404</v>
      </c>
      <c r="D275" s="90" t="s">
        <v>82</v>
      </c>
      <c r="E275" s="90" t="s">
        <v>157</v>
      </c>
      <c r="F275" s="90" t="s">
        <v>84</v>
      </c>
      <c r="G275" s="90" t="s">
        <v>53</v>
      </c>
    </row>
    <row r="276" spans="2:7">
      <c r="B276" s="90" t="s">
        <v>572</v>
      </c>
      <c r="C276" s="90" t="s">
        <v>406</v>
      </c>
      <c r="D276" s="90" t="s">
        <v>82</v>
      </c>
      <c r="E276" s="90" t="s">
        <v>157</v>
      </c>
      <c r="F276" s="90" t="s">
        <v>84</v>
      </c>
      <c r="G276" s="90" t="s">
        <v>53</v>
      </c>
    </row>
    <row r="277" spans="2:7">
      <c r="B277" s="90" t="s">
        <v>599</v>
      </c>
      <c r="C277" s="90" t="s">
        <v>408</v>
      </c>
      <c r="D277" s="90" t="s">
        <v>82</v>
      </c>
      <c r="E277" s="90" t="s">
        <v>157</v>
      </c>
      <c r="F277" s="90" t="s">
        <v>84</v>
      </c>
      <c r="G277" s="90" t="s">
        <v>53</v>
      </c>
    </row>
    <row r="278" spans="2:7">
      <c r="B278" s="90" t="s">
        <v>612</v>
      </c>
      <c r="C278" s="90" t="s">
        <v>410</v>
      </c>
      <c r="D278" s="90" t="s">
        <v>82</v>
      </c>
      <c r="E278" s="90" t="s">
        <v>157</v>
      </c>
      <c r="F278" s="90" t="s">
        <v>84</v>
      </c>
      <c r="G278" s="90" t="s">
        <v>53</v>
      </c>
    </row>
    <row r="279" spans="2:7">
      <c r="B279" s="90" t="s">
        <v>158</v>
      </c>
      <c r="C279" s="90" t="s">
        <v>159</v>
      </c>
      <c r="D279" s="90" t="s">
        <v>82</v>
      </c>
      <c r="E279" s="90" t="s">
        <v>160</v>
      </c>
      <c r="F279" s="90" t="s">
        <v>84</v>
      </c>
      <c r="G279" s="90" t="s">
        <v>53</v>
      </c>
    </row>
    <row r="280" spans="2:7">
      <c r="B280" s="90" t="s">
        <v>178</v>
      </c>
      <c r="C280" s="90" t="s">
        <v>179</v>
      </c>
      <c r="D280" s="90" t="s">
        <v>82</v>
      </c>
      <c r="E280" s="90" t="s">
        <v>160</v>
      </c>
      <c r="F280" s="90" t="s">
        <v>84</v>
      </c>
      <c r="G280" s="90" t="s">
        <v>53</v>
      </c>
    </row>
    <row r="281" spans="2:7">
      <c r="B281" s="90" t="s">
        <v>244</v>
      </c>
      <c r="C281" s="90" t="s">
        <v>245</v>
      </c>
      <c r="D281" s="90" t="s">
        <v>82</v>
      </c>
      <c r="E281" s="90" t="s">
        <v>160</v>
      </c>
      <c r="F281" s="90" t="s">
        <v>84</v>
      </c>
      <c r="G281" s="90" t="s">
        <v>53</v>
      </c>
    </row>
    <row r="282" spans="2:7">
      <c r="B282" s="90" t="s">
        <v>383</v>
      </c>
      <c r="C282" s="90" t="s">
        <v>384</v>
      </c>
      <c r="D282" s="90" t="s">
        <v>82</v>
      </c>
      <c r="E282" s="90" t="s">
        <v>160</v>
      </c>
      <c r="F282" s="90" t="s">
        <v>84</v>
      </c>
      <c r="G282" s="90" t="s">
        <v>53</v>
      </c>
    </row>
    <row r="283" spans="2:7">
      <c r="B283" s="90" t="s">
        <v>452</v>
      </c>
      <c r="C283" s="90" t="s">
        <v>453</v>
      </c>
      <c r="D283" s="90" t="s">
        <v>82</v>
      </c>
      <c r="E283" s="90" t="s">
        <v>160</v>
      </c>
      <c r="F283" s="90" t="s">
        <v>84</v>
      </c>
      <c r="G283" s="90" t="s">
        <v>53</v>
      </c>
    </row>
    <row r="284" spans="2:7">
      <c r="B284" s="90" t="s">
        <v>573</v>
      </c>
      <c r="C284" s="90" t="s">
        <v>574</v>
      </c>
      <c r="D284" s="90" t="s">
        <v>82</v>
      </c>
      <c r="E284" s="90" t="s">
        <v>160</v>
      </c>
      <c r="F284" s="90" t="s">
        <v>84</v>
      </c>
      <c r="G284" s="90" t="s">
        <v>53</v>
      </c>
    </row>
    <row r="285" spans="2:7">
      <c r="B285" s="90" t="s">
        <v>587</v>
      </c>
      <c r="C285" s="90" t="s">
        <v>588</v>
      </c>
      <c r="D285" s="90" t="s">
        <v>82</v>
      </c>
      <c r="E285" s="90" t="s">
        <v>160</v>
      </c>
      <c r="F285" s="90" t="s">
        <v>84</v>
      </c>
      <c r="G285" s="90" t="s">
        <v>53</v>
      </c>
    </row>
    <row r="286" spans="2:7">
      <c r="B286" s="90" t="s">
        <v>600</v>
      </c>
      <c r="C286" s="90" t="s">
        <v>601</v>
      </c>
      <c r="D286" s="90" t="s">
        <v>82</v>
      </c>
      <c r="E286" s="90" t="s">
        <v>160</v>
      </c>
      <c r="F286" s="90" t="s">
        <v>84</v>
      </c>
      <c r="G286" s="90" t="s">
        <v>53</v>
      </c>
    </row>
    <row r="287" spans="2:7">
      <c r="B287" s="90" t="s">
        <v>613</v>
      </c>
      <c r="C287" s="90" t="s">
        <v>614</v>
      </c>
      <c r="D287" s="90" t="s">
        <v>82</v>
      </c>
      <c r="E287" s="90" t="s">
        <v>160</v>
      </c>
      <c r="F287" s="90" t="s">
        <v>84</v>
      </c>
      <c r="G287" s="90" t="s">
        <v>53</v>
      </c>
    </row>
    <row r="288" spans="2:7">
      <c r="B288" s="90" t="s">
        <v>91</v>
      </c>
      <c r="C288" s="90" t="s">
        <v>92</v>
      </c>
      <c r="D288" s="90" t="s">
        <v>82</v>
      </c>
      <c r="E288" s="90" t="s">
        <v>93</v>
      </c>
      <c r="F288" s="90" t="s">
        <v>84</v>
      </c>
      <c r="G288" s="90" t="s">
        <v>53</v>
      </c>
    </row>
    <row r="289" spans="2:7">
      <c r="B289" s="90" t="s">
        <v>161</v>
      </c>
      <c r="C289" s="90" t="s">
        <v>162</v>
      </c>
      <c r="D289" s="90" t="s">
        <v>82</v>
      </c>
      <c r="E289" s="90" t="s">
        <v>93</v>
      </c>
      <c r="F289" s="90" t="s">
        <v>84</v>
      </c>
      <c r="G289" s="90" t="s">
        <v>53</v>
      </c>
    </row>
    <row r="290" spans="2:7">
      <c r="B290" s="90" t="s">
        <v>180</v>
      </c>
      <c r="C290" s="90" t="s">
        <v>181</v>
      </c>
      <c r="D290" s="90" t="s">
        <v>82</v>
      </c>
      <c r="E290" s="90" t="s">
        <v>93</v>
      </c>
      <c r="F290" s="90" t="s">
        <v>84</v>
      </c>
      <c r="G290" s="90" t="s">
        <v>53</v>
      </c>
    </row>
    <row r="291" spans="2:7">
      <c r="B291" s="90" t="s">
        <v>246</v>
      </c>
      <c r="C291" s="90" t="s">
        <v>247</v>
      </c>
      <c r="D291" s="90" t="s">
        <v>82</v>
      </c>
      <c r="E291" s="90" t="s">
        <v>93</v>
      </c>
      <c r="F291" s="90" t="s">
        <v>84</v>
      </c>
      <c r="G291" s="90" t="s">
        <v>53</v>
      </c>
    </row>
    <row r="292" spans="2:7">
      <c r="B292" s="90" t="s">
        <v>385</v>
      </c>
      <c r="C292" s="90" t="s">
        <v>386</v>
      </c>
      <c r="D292" s="90" t="s">
        <v>82</v>
      </c>
      <c r="E292" s="90" t="s">
        <v>93</v>
      </c>
      <c r="F292" s="90" t="s">
        <v>84</v>
      </c>
      <c r="G292" s="90" t="s">
        <v>53</v>
      </c>
    </row>
    <row r="293" spans="2:7">
      <c r="B293" s="90" t="s">
        <v>417</v>
      </c>
      <c r="C293" s="90" t="s">
        <v>418</v>
      </c>
      <c r="D293" s="90" t="s">
        <v>82</v>
      </c>
      <c r="E293" s="90" t="s">
        <v>93</v>
      </c>
      <c r="F293" s="90" t="s">
        <v>84</v>
      </c>
      <c r="G293" s="90" t="s">
        <v>53</v>
      </c>
    </row>
    <row r="294" spans="2:7">
      <c r="B294" s="90" t="s">
        <v>454</v>
      </c>
      <c r="C294" s="90" t="s">
        <v>455</v>
      </c>
      <c r="D294" s="90" t="s">
        <v>82</v>
      </c>
      <c r="E294" s="90" t="s">
        <v>93</v>
      </c>
      <c r="F294" s="90" t="s">
        <v>84</v>
      </c>
      <c r="G294" s="90" t="s">
        <v>53</v>
      </c>
    </row>
    <row r="295" spans="2:7">
      <c r="B295" s="90" t="s">
        <v>551</v>
      </c>
      <c r="C295" s="90" t="s">
        <v>522</v>
      </c>
      <c r="D295" s="90" t="s">
        <v>82</v>
      </c>
      <c r="E295" s="90" t="s">
        <v>93</v>
      </c>
      <c r="F295" s="90" t="s">
        <v>84</v>
      </c>
      <c r="G295" s="90" t="s">
        <v>53</v>
      </c>
    </row>
    <row r="296" spans="2:7">
      <c r="B296" s="90" t="s">
        <v>575</v>
      </c>
      <c r="C296" s="90" t="s">
        <v>525</v>
      </c>
      <c r="D296" s="90" t="s">
        <v>82</v>
      </c>
      <c r="E296" s="90" t="s">
        <v>93</v>
      </c>
      <c r="F296" s="90" t="s">
        <v>84</v>
      </c>
      <c r="G296" s="90" t="s">
        <v>53</v>
      </c>
    </row>
    <row r="297" spans="2:7">
      <c r="B297" s="90" t="s">
        <v>580</v>
      </c>
      <c r="C297" s="90" t="s">
        <v>528</v>
      </c>
      <c r="D297" s="90" t="s">
        <v>82</v>
      </c>
      <c r="E297" s="90" t="s">
        <v>93</v>
      </c>
      <c r="F297" s="90" t="s">
        <v>84</v>
      </c>
      <c r="G297" s="90" t="s">
        <v>53</v>
      </c>
    </row>
    <row r="298" spans="2:7">
      <c r="B298" s="90" t="s">
        <v>589</v>
      </c>
      <c r="C298" s="90" t="s">
        <v>531</v>
      </c>
      <c r="D298" s="90" t="s">
        <v>82</v>
      </c>
      <c r="E298" s="90" t="s">
        <v>93</v>
      </c>
      <c r="F298" s="90" t="s">
        <v>84</v>
      </c>
      <c r="G298" s="90" t="s">
        <v>53</v>
      </c>
    </row>
    <row r="299" spans="2:7">
      <c r="B299" s="90" t="s">
        <v>615</v>
      </c>
      <c r="C299" s="90" t="s">
        <v>534</v>
      </c>
      <c r="D299" s="90" t="s">
        <v>82</v>
      </c>
      <c r="E299" s="90" t="s">
        <v>93</v>
      </c>
      <c r="F299" s="90" t="s">
        <v>84</v>
      </c>
      <c r="G299" s="90" t="s">
        <v>53</v>
      </c>
    </row>
    <row r="300" spans="2:7">
      <c r="B300" s="90" t="s">
        <v>456</v>
      </c>
      <c r="C300" s="90" t="s">
        <v>11</v>
      </c>
      <c r="D300" s="90" t="s">
        <v>82</v>
      </c>
      <c r="E300" s="90" t="s">
        <v>263</v>
      </c>
      <c r="F300" s="90" t="s">
        <v>263</v>
      </c>
      <c r="G300" s="90" t="s">
        <v>53</v>
      </c>
    </row>
    <row r="301" spans="2:7">
      <c r="B301" s="90" t="s">
        <v>458</v>
      </c>
      <c r="C301" s="90" t="s">
        <v>459</v>
      </c>
      <c r="D301" s="90" t="s">
        <v>82</v>
      </c>
      <c r="E301" s="90" t="s">
        <v>263</v>
      </c>
      <c r="F301" s="90" t="s">
        <v>263</v>
      </c>
      <c r="G301" s="90" t="s">
        <v>53</v>
      </c>
    </row>
    <row r="302" spans="2:7">
      <c r="B302" s="90" t="s">
        <v>460</v>
      </c>
      <c r="C302" s="90" t="s">
        <v>461</v>
      </c>
      <c r="D302" s="90" t="s">
        <v>82</v>
      </c>
      <c r="E302" s="90" t="s">
        <v>263</v>
      </c>
      <c r="F302" s="90" t="s">
        <v>263</v>
      </c>
      <c r="G302" s="90" t="s">
        <v>53</v>
      </c>
    </row>
    <row r="303" spans="2:7">
      <c r="B303" s="90" t="s">
        <v>462</v>
      </c>
      <c r="C303" s="90" t="s">
        <v>10</v>
      </c>
      <c r="D303" s="90" t="s">
        <v>82</v>
      </c>
      <c r="E303" s="90" t="s">
        <v>263</v>
      </c>
      <c r="F303" s="90" t="s">
        <v>263</v>
      </c>
      <c r="G303" s="90" t="s">
        <v>53</v>
      </c>
    </row>
    <row r="304" spans="2:7">
      <c r="B304" s="90" t="s">
        <v>463</v>
      </c>
      <c r="C304" s="90" t="s">
        <v>464</v>
      </c>
      <c r="D304" s="90" t="s">
        <v>82</v>
      </c>
      <c r="E304" s="90" t="s">
        <v>263</v>
      </c>
      <c r="F304" s="90" t="s">
        <v>263</v>
      </c>
      <c r="G304" s="90" t="s">
        <v>53</v>
      </c>
    </row>
    <row r="305" spans="2:7">
      <c r="B305" s="90" t="s">
        <v>465</v>
      </c>
      <c r="C305" s="90" t="s">
        <v>466</v>
      </c>
      <c r="D305" s="90" t="s">
        <v>82</v>
      </c>
      <c r="E305" s="90" t="s">
        <v>263</v>
      </c>
      <c r="F305" s="90" t="s">
        <v>263</v>
      </c>
      <c r="G305" s="90" t="s">
        <v>53</v>
      </c>
    </row>
    <row r="306" spans="2:7">
      <c r="B306" s="90" t="s">
        <v>467</v>
      </c>
      <c r="C306" s="90" t="s">
        <v>468</v>
      </c>
      <c r="D306" s="90" t="s">
        <v>82</v>
      </c>
      <c r="E306" s="90" t="s">
        <v>263</v>
      </c>
      <c r="F306" s="90" t="s">
        <v>263</v>
      </c>
      <c r="G306" s="90" t="s">
        <v>53</v>
      </c>
    </row>
    <row r="307" spans="2:7">
      <c r="B307" s="90" t="s">
        <v>469</v>
      </c>
      <c r="C307" s="90" t="s">
        <v>470</v>
      </c>
      <c r="D307" s="90" t="s">
        <v>82</v>
      </c>
      <c r="E307" s="90" t="s">
        <v>263</v>
      </c>
      <c r="F307" s="90" t="s">
        <v>263</v>
      </c>
      <c r="G307" s="90" t="s">
        <v>53</v>
      </c>
    </row>
    <row r="308" spans="2:7">
      <c r="B308" s="90" t="s">
        <v>471</v>
      </c>
      <c r="C308" s="90" t="s">
        <v>472</v>
      </c>
      <c r="D308" s="90" t="s">
        <v>82</v>
      </c>
      <c r="E308" s="90" t="s">
        <v>263</v>
      </c>
      <c r="F308" s="90" t="s">
        <v>263</v>
      </c>
      <c r="G308" s="90" t="s">
        <v>53</v>
      </c>
    </row>
    <row r="309" spans="2:7">
      <c r="B309" s="90" t="s">
        <v>473</v>
      </c>
      <c r="C309" s="90" t="s">
        <v>474</v>
      </c>
      <c r="D309" s="90" t="s">
        <v>82</v>
      </c>
      <c r="E309" s="90" t="s">
        <v>263</v>
      </c>
      <c r="F309" s="90" t="s">
        <v>263</v>
      </c>
      <c r="G309" s="90" t="s">
        <v>53</v>
      </c>
    </row>
    <row r="310" spans="2:7">
      <c r="B310" s="90" t="s">
        <v>475</v>
      </c>
      <c r="C310" s="90" t="s">
        <v>476</v>
      </c>
      <c r="D310" s="90" t="s">
        <v>82</v>
      </c>
      <c r="E310" s="90" t="s">
        <v>263</v>
      </c>
      <c r="F310" s="90" t="s">
        <v>263</v>
      </c>
      <c r="G310" s="90" t="s">
        <v>53</v>
      </c>
    </row>
    <row r="311" spans="2:7">
      <c r="B311" s="90" t="s">
        <v>477</v>
      </c>
      <c r="C311" s="90" t="s">
        <v>12</v>
      </c>
      <c r="D311" s="90" t="s">
        <v>82</v>
      </c>
      <c r="E311" s="90" t="s">
        <v>263</v>
      </c>
      <c r="F311" s="90" t="s">
        <v>263</v>
      </c>
      <c r="G311" s="90" t="s">
        <v>53</v>
      </c>
    </row>
    <row r="312" spans="2:7">
      <c r="B312" s="90" t="s">
        <v>478</v>
      </c>
      <c r="C312" s="90" t="s">
        <v>479</v>
      </c>
      <c r="D312" s="90" t="s">
        <v>82</v>
      </c>
      <c r="E312" s="90" t="s">
        <v>263</v>
      </c>
      <c r="F312" s="90" t="s">
        <v>263</v>
      </c>
      <c r="G312" s="90" t="s">
        <v>53</v>
      </c>
    </row>
    <row r="313" spans="2:7">
      <c r="B313" s="90" t="s">
        <v>480</v>
      </c>
      <c r="C313" s="90" t="s">
        <v>481</v>
      </c>
      <c r="D313" s="90" t="s">
        <v>82</v>
      </c>
      <c r="E313" s="90" t="s">
        <v>263</v>
      </c>
      <c r="F313" s="90" t="s">
        <v>263</v>
      </c>
      <c r="G313" s="90" t="s">
        <v>53</v>
      </c>
    </row>
    <row r="314" spans="2:7">
      <c r="B314" s="90" t="s">
        <v>482</v>
      </c>
      <c r="C314" s="90" t="s">
        <v>483</v>
      </c>
      <c r="D314" s="90" t="s">
        <v>82</v>
      </c>
      <c r="E314" s="90" t="s">
        <v>263</v>
      </c>
      <c r="F314" s="90" t="s">
        <v>263</v>
      </c>
      <c r="G314" s="90" t="s">
        <v>53</v>
      </c>
    </row>
    <row r="315" spans="2:7">
      <c r="B315" s="90" t="s">
        <v>484</v>
      </c>
      <c r="C315" s="90" t="s">
        <v>485</v>
      </c>
      <c r="D315" s="90" t="s">
        <v>82</v>
      </c>
      <c r="E315" s="90" t="s">
        <v>263</v>
      </c>
      <c r="F315" s="90" t="s">
        <v>263</v>
      </c>
      <c r="G315" s="90" t="s">
        <v>53</v>
      </c>
    </row>
    <row r="316" spans="2:7">
      <c r="B316" s="90" t="s">
        <v>486</v>
      </c>
      <c r="C316" s="90" t="s">
        <v>487</v>
      </c>
      <c r="D316" s="90" t="s">
        <v>82</v>
      </c>
      <c r="E316" s="90" t="s">
        <v>263</v>
      </c>
      <c r="F316" s="90" t="s">
        <v>263</v>
      </c>
      <c r="G316" s="90" t="s">
        <v>53</v>
      </c>
    </row>
    <row r="317" spans="2:7">
      <c r="B317" s="107" t="s">
        <v>488</v>
      </c>
      <c r="C317" s="107" t="s">
        <v>11</v>
      </c>
      <c r="D317" s="107" t="s">
        <v>82</v>
      </c>
      <c r="E317" s="107" t="s">
        <v>489</v>
      </c>
      <c r="F317" s="107" t="s">
        <v>489</v>
      </c>
      <c r="G317" s="107" t="s">
        <v>53</v>
      </c>
    </row>
    <row r="318" spans="2:7">
      <c r="B318" s="107" t="s">
        <v>490</v>
      </c>
      <c r="C318" s="107" t="s">
        <v>459</v>
      </c>
      <c r="D318" s="107" t="s">
        <v>82</v>
      </c>
      <c r="E318" s="107" t="s">
        <v>489</v>
      </c>
      <c r="F318" s="107" t="s">
        <v>489</v>
      </c>
      <c r="G318" s="107" t="s">
        <v>53</v>
      </c>
    </row>
    <row r="319" spans="2:7">
      <c r="B319" s="107" t="s">
        <v>491</v>
      </c>
      <c r="C319" s="107" t="s">
        <v>461</v>
      </c>
      <c r="D319" s="107" t="s">
        <v>82</v>
      </c>
      <c r="E319" s="107" t="s">
        <v>489</v>
      </c>
      <c r="F319" s="107" t="s">
        <v>489</v>
      </c>
      <c r="G319" s="107" t="s">
        <v>53</v>
      </c>
    </row>
    <row r="320" spans="2:7">
      <c r="B320" s="107" t="s">
        <v>492</v>
      </c>
      <c r="C320" s="107" t="s">
        <v>10</v>
      </c>
      <c r="D320" s="107" t="s">
        <v>82</v>
      </c>
      <c r="E320" s="107" t="s">
        <v>489</v>
      </c>
      <c r="F320" s="107" t="s">
        <v>489</v>
      </c>
      <c r="G320" s="107" t="s">
        <v>53</v>
      </c>
    </row>
    <row r="321" spans="2:7">
      <c r="B321" s="107" t="s">
        <v>493</v>
      </c>
      <c r="C321" s="107" t="s">
        <v>464</v>
      </c>
      <c r="D321" s="107" t="s">
        <v>82</v>
      </c>
      <c r="E321" s="107" t="s">
        <v>489</v>
      </c>
      <c r="F321" s="107" t="s">
        <v>489</v>
      </c>
      <c r="G321" s="107" t="s">
        <v>53</v>
      </c>
    </row>
    <row r="322" spans="2:7">
      <c r="B322" s="107" t="s">
        <v>494</v>
      </c>
      <c r="C322" s="107" t="s">
        <v>466</v>
      </c>
      <c r="D322" s="107" t="s">
        <v>82</v>
      </c>
      <c r="E322" s="107" t="s">
        <v>489</v>
      </c>
      <c r="F322" s="107" t="s">
        <v>489</v>
      </c>
      <c r="G322" s="107" t="s">
        <v>53</v>
      </c>
    </row>
    <row r="323" spans="2:7">
      <c r="B323" s="107" t="s">
        <v>495</v>
      </c>
      <c r="C323" s="107" t="s">
        <v>468</v>
      </c>
      <c r="D323" s="107" t="s">
        <v>82</v>
      </c>
      <c r="E323" s="107" t="s">
        <v>489</v>
      </c>
      <c r="F323" s="107" t="s">
        <v>489</v>
      </c>
      <c r="G323" s="107" t="s">
        <v>53</v>
      </c>
    </row>
    <row r="324" spans="2:7">
      <c r="B324" s="107" t="s">
        <v>496</v>
      </c>
      <c r="C324" s="107" t="s">
        <v>470</v>
      </c>
      <c r="D324" s="107" t="s">
        <v>82</v>
      </c>
      <c r="E324" s="107" t="s">
        <v>489</v>
      </c>
      <c r="F324" s="107" t="s">
        <v>489</v>
      </c>
      <c r="G324" s="107" t="s">
        <v>53</v>
      </c>
    </row>
    <row r="325" spans="2:7">
      <c r="B325" s="107" t="s">
        <v>497</v>
      </c>
      <c r="C325" s="107" t="s">
        <v>472</v>
      </c>
      <c r="D325" s="107" t="s">
        <v>82</v>
      </c>
      <c r="E325" s="107" t="s">
        <v>489</v>
      </c>
      <c r="F325" s="107" t="s">
        <v>489</v>
      </c>
      <c r="G325" s="107" t="s">
        <v>53</v>
      </c>
    </row>
    <row r="326" spans="2:7">
      <c r="B326" s="107" t="s">
        <v>498</v>
      </c>
      <c r="C326" s="107" t="s">
        <v>499</v>
      </c>
      <c r="D326" s="107" t="s">
        <v>82</v>
      </c>
      <c r="E326" s="107" t="s">
        <v>489</v>
      </c>
      <c r="F326" s="107" t="s">
        <v>489</v>
      </c>
      <c r="G326" s="107" t="s">
        <v>53</v>
      </c>
    </row>
    <row r="327" spans="2:7">
      <c r="B327" s="107" t="s">
        <v>500</v>
      </c>
      <c r="C327" s="107" t="s">
        <v>476</v>
      </c>
      <c r="D327" s="107" t="s">
        <v>82</v>
      </c>
      <c r="E327" s="107" t="s">
        <v>489</v>
      </c>
      <c r="F327" s="107" t="s">
        <v>489</v>
      </c>
      <c r="G327" s="107" t="s">
        <v>53</v>
      </c>
    </row>
    <row r="328" spans="2:7">
      <c r="B328" s="107" t="s">
        <v>501</v>
      </c>
      <c r="C328" s="107" t="s">
        <v>12</v>
      </c>
      <c r="D328" s="107" t="s">
        <v>82</v>
      </c>
      <c r="E328" s="107" t="s">
        <v>489</v>
      </c>
      <c r="F328" s="107" t="s">
        <v>489</v>
      </c>
      <c r="G328" s="107" t="s">
        <v>53</v>
      </c>
    </row>
    <row r="329" spans="2:7">
      <c r="B329" s="107" t="s">
        <v>502</v>
      </c>
      <c r="C329" s="107" t="s">
        <v>479</v>
      </c>
      <c r="D329" s="107" t="s">
        <v>82</v>
      </c>
      <c r="E329" s="107" t="s">
        <v>489</v>
      </c>
      <c r="F329" s="107" t="s">
        <v>489</v>
      </c>
      <c r="G329" s="107" t="s">
        <v>53</v>
      </c>
    </row>
    <row r="330" spans="2:7">
      <c r="B330" s="107" t="s">
        <v>503</v>
      </c>
      <c r="C330" s="107" t="s">
        <v>481</v>
      </c>
      <c r="D330" s="107" t="s">
        <v>82</v>
      </c>
      <c r="E330" s="107" t="s">
        <v>489</v>
      </c>
      <c r="F330" s="107" t="s">
        <v>489</v>
      </c>
      <c r="G330" s="107" t="s">
        <v>53</v>
      </c>
    </row>
    <row r="331" spans="2:7">
      <c r="B331" s="107" t="s">
        <v>504</v>
      </c>
      <c r="C331" s="107" t="s">
        <v>483</v>
      </c>
      <c r="D331" s="107" t="s">
        <v>82</v>
      </c>
      <c r="E331" s="107" t="s">
        <v>489</v>
      </c>
      <c r="F331" s="107" t="s">
        <v>489</v>
      </c>
      <c r="G331" s="107" t="s">
        <v>53</v>
      </c>
    </row>
    <row r="332" spans="2:7">
      <c r="B332" s="107" t="s">
        <v>505</v>
      </c>
      <c r="C332" s="107" t="s">
        <v>485</v>
      </c>
      <c r="D332" s="107" t="s">
        <v>82</v>
      </c>
      <c r="E332" s="107" t="s">
        <v>489</v>
      </c>
      <c r="F332" s="107" t="s">
        <v>489</v>
      </c>
      <c r="G332" s="107" t="s">
        <v>53</v>
      </c>
    </row>
    <row r="333" spans="2:7">
      <c r="B333" s="107" t="s">
        <v>506</v>
      </c>
      <c r="C333" s="107" t="s">
        <v>487</v>
      </c>
      <c r="D333" s="107" t="s">
        <v>82</v>
      </c>
      <c r="E333" s="107" t="s">
        <v>489</v>
      </c>
      <c r="F333" s="107" t="s">
        <v>489</v>
      </c>
      <c r="G333" s="107" t="s">
        <v>53</v>
      </c>
    </row>
    <row r="334" spans="2:7">
      <c r="B334" s="107" t="s">
        <v>632</v>
      </c>
      <c r="C334" s="107" t="s">
        <v>633</v>
      </c>
      <c r="D334" s="107" t="s">
        <v>68</v>
      </c>
      <c r="E334" s="107" t="s">
        <v>150</v>
      </c>
      <c r="F334" s="107" t="s">
        <v>69</v>
      </c>
      <c r="G334" s="107" t="s">
        <v>53</v>
      </c>
    </row>
    <row r="335" spans="2:7">
      <c r="B335" s="107" t="s">
        <v>634</v>
      </c>
      <c r="C335" s="107" t="s">
        <v>635</v>
      </c>
      <c r="D335" s="107" t="s">
        <v>68</v>
      </c>
      <c r="E335" s="107" t="s">
        <v>150</v>
      </c>
      <c r="F335" s="107" t="s">
        <v>69</v>
      </c>
      <c r="G335" s="107" t="s">
        <v>53</v>
      </c>
    </row>
    <row r="336" spans="2:7">
      <c r="B336" s="108" t="s">
        <v>636</v>
      </c>
      <c r="C336" s="108" t="s">
        <v>637</v>
      </c>
      <c r="D336" s="108" t="s">
        <v>68</v>
      </c>
      <c r="E336" s="108" t="s">
        <v>83</v>
      </c>
      <c r="F336" s="108" t="s">
        <v>69</v>
      </c>
      <c r="G336" s="108" t="s">
        <v>53</v>
      </c>
    </row>
    <row r="337" spans="2:8">
      <c r="B337" s="108" t="s">
        <v>638</v>
      </c>
      <c r="C337" s="108" t="s">
        <v>639</v>
      </c>
      <c r="D337" s="108" t="s">
        <v>68</v>
      </c>
      <c r="E337" s="108" t="s">
        <v>83</v>
      </c>
      <c r="F337" s="108" t="s">
        <v>69</v>
      </c>
      <c r="G337" s="108" t="s">
        <v>53</v>
      </c>
    </row>
    <row r="338" spans="2:8">
      <c r="B338" s="108" t="s">
        <v>640</v>
      </c>
      <c r="C338" s="108" t="s">
        <v>641</v>
      </c>
      <c r="D338" s="108" t="s">
        <v>68</v>
      </c>
      <c r="E338" s="108" t="s">
        <v>83</v>
      </c>
      <c r="F338" s="108" t="s">
        <v>69</v>
      </c>
      <c r="G338" s="108" t="s">
        <v>53</v>
      </c>
    </row>
    <row r="339" spans="2:8">
      <c r="B339" s="108" t="s">
        <v>642</v>
      </c>
      <c r="C339" s="108" t="s">
        <v>643</v>
      </c>
      <c r="D339" s="108" t="s">
        <v>68</v>
      </c>
      <c r="E339" s="108" t="s">
        <v>83</v>
      </c>
      <c r="F339" s="108" t="s">
        <v>69</v>
      </c>
      <c r="G339" s="108" t="s">
        <v>53</v>
      </c>
    </row>
    <row r="340" spans="2:8">
      <c r="B340" s="109" t="s">
        <v>88</v>
      </c>
      <c r="C340" s="109" t="s">
        <v>89</v>
      </c>
      <c r="D340" s="109" t="s">
        <v>82</v>
      </c>
      <c r="E340" s="109" t="s">
        <v>90</v>
      </c>
      <c r="F340" s="109" t="s">
        <v>84</v>
      </c>
      <c r="G340" s="109" t="s">
        <v>53</v>
      </c>
    </row>
    <row r="341" spans="2:8">
      <c r="B341" s="109" t="s">
        <v>153</v>
      </c>
      <c r="C341" s="109" t="s">
        <v>154</v>
      </c>
      <c r="D341" s="109" t="s">
        <v>82</v>
      </c>
      <c r="E341" s="109" t="s">
        <v>90</v>
      </c>
      <c r="F341" s="109" t="s">
        <v>84</v>
      </c>
      <c r="G341" s="109" t="s">
        <v>53</v>
      </c>
    </row>
    <row r="342" spans="2:8">
      <c r="B342" s="109" t="s">
        <v>174</v>
      </c>
      <c r="C342" s="109" t="s">
        <v>175</v>
      </c>
      <c r="D342" s="109" t="s">
        <v>82</v>
      </c>
      <c r="E342" s="109" t="s">
        <v>90</v>
      </c>
      <c r="F342" s="109" t="s">
        <v>84</v>
      </c>
      <c r="G342" s="109" t="s">
        <v>53</v>
      </c>
    </row>
    <row r="343" spans="2:8">
      <c r="B343" s="109" t="s">
        <v>242</v>
      </c>
      <c r="C343" s="109" t="s">
        <v>243</v>
      </c>
      <c r="D343" s="109" t="s">
        <v>82</v>
      </c>
      <c r="E343" s="109" t="s">
        <v>90</v>
      </c>
      <c r="F343" s="109" t="s">
        <v>84</v>
      </c>
      <c r="G343" s="109" t="s">
        <v>53</v>
      </c>
    </row>
    <row r="344" spans="2:8">
      <c r="B344" s="109" t="s">
        <v>380</v>
      </c>
      <c r="C344" s="109" t="s">
        <v>347</v>
      </c>
      <c r="D344" s="109" t="s">
        <v>82</v>
      </c>
      <c r="E344" s="109" t="s">
        <v>90</v>
      </c>
      <c r="F344" s="109" t="s">
        <v>84</v>
      </c>
      <c r="G344" s="109" t="s">
        <v>53</v>
      </c>
      <c r="H344" s="114"/>
    </row>
    <row r="345" spans="2:8">
      <c r="B345" s="109" t="s">
        <v>416</v>
      </c>
      <c r="C345" s="109" t="s">
        <v>350</v>
      </c>
      <c r="D345" s="109" t="s">
        <v>82</v>
      </c>
      <c r="E345" s="109" t="s">
        <v>90</v>
      </c>
      <c r="F345" s="109" t="s">
        <v>84</v>
      </c>
      <c r="G345" s="109" t="s">
        <v>53</v>
      </c>
      <c r="H345" s="114"/>
    </row>
    <row r="346" spans="2:8">
      <c r="B346" s="109" t="s">
        <v>450</v>
      </c>
      <c r="C346" s="109" t="s">
        <v>356</v>
      </c>
      <c r="D346" s="109" t="s">
        <v>82</v>
      </c>
      <c r="E346" s="109" t="s">
        <v>90</v>
      </c>
      <c r="F346" s="109" t="s">
        <v>84</v>
      </c>
      <c r="G346" s="109" t="s">
        <v>53</v>
      </c>
      <c r="H346" s="114"/>
    </row>
    <row r="347" spans="2:8">
      <c r="B347" s="109" t="s">
        <v>548</v>
      </c>
      <c r="C347" s="109" t="s">
        <v>353</v>
      </c>
      <c r="D347" s="109" t="s">
        <v>82</v>
      </c>
      <c r="E347" s="109" t="s">
        <v>90</v>
      </c>
      <c r="F347" s="109" t="s">
        <v>84</v>
      </c>
      <c r="G347" s="109" t="s">
        <v>53</v>
      </c>
      <c r="H347" s="114"/>
    </row>
    <row r="348" spans="2:8">
      <c r="B348" s="109" t="s">
        <v>571</v>
      </c>
      <c r="C348" s="109" t="s">
        <v>359</v>
      </c>
      <c r="D348" s="109" t="s">
        <v>82</v>
      </c>
      <c r="E348" s="109" t="s">
        <v>90</v>
      </c>
      <c r="F348" s="109" t="s">
        <v>84</v>
      </c>
      <c r="G348" s="109" t="s">
        <v>53</v>
      </c>
      <c r="H348" s="114"/>
    </row>
    <row r="349" spans="2:8">
      <c r="B349" s="109" t="s">
        <v>579</v>
      </c>
      <c r="C349" s="109" t="s">
        <v>362</v>
      </c>
      <c r="D349" s="109" t="s">
        <v>82</v>
      </c>
      <c r="E349" s="109" t="s">
        <v>90</v>
      </c>
      <c r="F349" s="109" t="s">
        <v>84</v>
      </c>
      <c r="G349" s="109" t="s">
        <v>53</v>
      </c>
      <c r="H349" s="114"/>
    </row>
    <row r="350" spans="2:8">
      <c r="B350" s="109" t="s">
        <v>586</v>
      </c>
      <c r="C350" s="109" t="s">
        <v>365</v>
      </c>
      <c r="D350" s="109" t="s">
        <v>82</v>
      </c>
      <c r="E350" s="109" t="s">
        <v>90</v>
      </c>
      <c r="F350" s="109" t="s">
        <v>84</v>
      </c>
      <c r="G350" s="109" t="s">
        <v>53</v>
      </c>
      <c r="H350" s="114"/>
    </row>
    <row r="351" spans="2:8">
      <c r="B351" s="109" t="s">
        <v>611</v>
      </c>
      <c r="C351" s="109" t="s">
        <v>368</v>
      </c>
      <c r="D351" s="109" t="s">
        <v>82</v>
      </c>
      <c r="E351" s="109" t="s">
        <v>90</v>
      </c>
      <c r="F351" s="109" t="s">
        <v>84</v>
      </c>
      <c r="G351" s="109" t="s">
        <v>53</v>
      </c>
      <c r="H351" s="114"/>
    </row>
    <row r="352" spans="2:8">
      <c r="B352" s="109" t="s">
        <v>338</v>
      </c>
      <c r="C352" s="109" t="s">
        <v>89</v>
      </c>
      <c r="D352" s="109" t="s">
        <v>69</v>
      </c>
      <c r="E352" s="109" t="s">
        <v>90</v>
      </c>
      <c r="F352" s="109" t="s">
        <v>84</v>
      </c>
      <c r="G352" s="109" t="s">
        <v>53</v>
      </c>
      <c r="H352" s="115" t="s">
        <v>646</v>
      </c>
    </row>
    <row r="353" spans="2:8">
      <c r="B353" s="109" t="s">
        <v>340</v>
      </c>
      <c r="C353" s="109" t="s">
        <v>154</v>
      </c>
      <c r="D353" s="109" t="s">
        <v>69</v>
      </c>
      <c r="E353" s="109" t="s">
        <v>90</v>
      </c>
      <c r="F353" s="109" t="s">
        <v>84</v>
      </c>
      <c r="G353" s="109" t="s">
        <v>53</v>
      </c>
      <c r="H353" s="115" t="s">
        <v>646</v>
      </c>
    </row>
    <row r="354" spans="2:8">
      <c r="B354" s="109" t="s">
        <v>342</v>
      </c>
      <c r="C354" s="109" t="s">
        <v>175</v>
      </c>
      <c r="D354" s="109" t="s">
        <v>69</v>
      </c>
      <c r="E354" s="109" t="s">
        <v>90</v>
      </c>
      <c r="F354" s="109" t="s">
        <v>84</v>
      </c>
      <c r="G354" s="109" t="s">
        <v>53</v>
      </c>
      <c r="H354" s="115" t="s">
        <v>646</v>
      </c>
    </row>
    <row r="355" spans="2:8">
      <c r="B355" s="109" t="s">
        <v>344</v>
      </c>
      <c r="C355" s="109" t="s">
        <v>243</v>
      </c>
      <c r="D355" s="109" t="s">
        <v>69</v>
      </c>
      <c r="E355" s="109" t="s">
        <v>90</v>
      </c>
      <c r="F355" s="109" t="s">
        <v>84</v>
      </c>
      <c r="G355" s="109" t="s">
        <v>53</v>
      </c>
      <c r="H355" s="115" t="s">
        <v>646</v>
      </c>
    </row>
    <row r="356" spans="2:8">
      <c r="B356" s="109" t="s">
        <v>346</v>
      </c>
      <c r="C356" s="109" t="s">
        <v>347</v>
      </c>
      <c r="D356" s="109" t="s">
        <v>69</v>
      </c>
      <c r="E356" s="109" t="s">
        <v>90</v>
      </c>
      <c r="F356" s="109" t="s">
        <v>84</v>
      </c>
      <c r="G356" s="109" t="s">
        <v>53</v>
      </c>
      <c r="H356" s="116" t="s">
        <v>646</v>
      </c>
    </row>
    <row r="357" spans="2:8">
      <c r="B357" s="109" t="s">
        <v>349</v>
      </c>
      <c r="C357" s="109" t="s">
        <v>350</v>
      </c>
      <c r="D357" s="109" t="s">
        <v>69</v>
      </c>
      <c r="E357" s="109" t="s">
        <v>90</v>
      </c>
      <c r="F357" s="109" t="s">
        <v>84</v>
      </c>
      <c r="G357" s="109" t="s">
        <v>53</v>
      </c>
      <c r="H357" s="116" t="s">
        <v>646</v>
      </c>
    </row>
    <row r="358" spans="2:8">
      <c r="B358" s="109" t="s">
        <v>352</v>
      </c>
      <c r="C358" s="109" t="s">
        <v>353</v>
      </c>
      <c r="D358" s="109" t="s">
        <v>69</v>
      </c>
      <c r="E358" s="109" t="s">
        <v>90</v>
      </c>
      <c r="F358" s="109" t="s">
        <v>84</v>
      </c>
      <c r="G358" s="109" t="s">
        <v>53</v>
      </c>
      <c r="H358" s="116" t="s">
        <v>646</v>
      </c>
    </row>
    <row r="359" spans="2:8">
      <c r="B359" s="109" t="s">
        <v>355</v>
      </c>
      <c r="C359" s="109" t="s">
        <v>356</v>
      </c>
      <c r="D359" s="109" t="s">
        <v>69</v>
      </c>
      <c r="E359" s="109" t="s">
        <v>90</v>
      </c>
      <c r="F359" s="109" t="s">
        <v>84</v>
      </c>
      <c r="G359" s="109" t="s">
        <v>53</v>
      </c>
      <c r="H359" s="116" t="s">
        <v>646</v>
      </c>
    </row>
    <row r="360" spans="2:8">
      <c r="B360" s="109" t="s">
        <v>358</v>
      </c>
      <c r="C360" s="109" t="s">
        <v>359</v>
      </c>
      <c r="D360" s="109" t="s">
        <v>69</v>
      </c>
      <c r="E360" s="109" t="s">
        <v>90</v>
      </c>
      <c r="F360" s="109" t="s">
        <v>84</v>
      </c>
      <c r="G360" s="109" t="s">
        <v>53</v>
      </c>
      <c r="H360" s="116" t="s">
        <v>646</v>
      </c>
    </row>
    <row r="361" spans="2:8">
      <c r="B361" s="109" t="s">
        <v>361</v>
      </c>
      <c r="C361" s="109" t="s">
        <v>362</v>
      </c>
      <c r="D361" s="109" t="s">
        <v>69</v>
      </c>
      <c r="E361" s="109" t="s">
        <v>90</v>
      </c>
      <c r="F361" s="109" t="s">
        <v>84</v>
      </c>
      <c r="G361" s="109" t="s">
        <v>53</v>
      </c>
      <c r="H361" s="116" t="s">
        <v>646</v>
      </c>
    </row>
    <row r="362" spans="2:8">
      <c r="B362" s="109" t="s">
        <v>364</v>
      </c>
      <c r="C362" s="109" t="s">
        <v>365</v>
      </c>
      <c r="D362" s="109" t="s">
        <v>69</v>
      </c>
      <c r="E362" s="109" t="s">
        <v>90</v>
      </c>
      <c r="F362" s="109" t="s">
        <v>84</v>
      </c>
      <c r="G362" s="109" t="s">
        <v>53</v>
      </c>
      <c r="H362" s="116" t="s">
        <v>646</v>
      </c>
    </row>
    <row r="363" spans="2:8">
      <c r="B363" s="109" t="s">
        <v>367</v>
      </c>
      <c r="C363" s="109" t="s">
        <v>368</v>
      </c>
      <c r="D363" s="109" t="s">
        <v>69</v>
      </c>
      <c r="E363" s="109" t="s">
        <v>90</v>
      </c>
      <c r="F363" s="109" t="s">
        <v>84</v>
      </c>
      <c r="G363" s="109" t="s">
        <v>53</v>
      </c>
      <c r="H363" s="116" t="s">
        <v>646</v>
      </c>
    </row>
    <row r="364" spans="2:8">
      <c r="B364" s="90" t="s">
        <v>652</v>
      </c>
      <c r="C364" s="90" t="s">
        <v>653</v>
      </c>
      <c r="D364" s="90" t="s">
        <v>68</v>
      </c>
      <c r="E364" s="90" t="s">
        <v>51</v>
      </c>
      <c r="F364" s="90" t="s">
        <v>69</v>
      </c>
      <c r="G364" s="90" t="s">
        <v>53</v>
      </c>
    </row>
    <row r="365" spans="2:8">
      <c r="B365" s="90" t="s">
        <v>654</v>
      </c>
      <c r="C365" s="90" t="s">
        <v>655</v>
      </c>
      <c r="D365" s="90" t="s">
        <v>68</v>
      </c>
      <c r="E365" s="90" t="s">
        <v>51</v>
      </c>
      <c r="F365" s="90" t="s">
        <v>69</v>
      </c>
      <c r="G365" s="90" t="s">
        <v>53</v>
      </c>
    </row>
    <row r="366" spans="2:8">
      <c r="B366" s="90" t="s">
        <v>656</v>
      </c>
      <c r="C366" s="90" t="s">
        <v>657</v>
      </c>
      <c r="D366" s="90" t="s">
        <v>82</v>
      </c>
      <c r="E366" s="90" t="s">
        <v>51</v>
      </c>
      <c r="F366" s="90" t="s">
        <v>84</v>
      </c>
      <c r="G366" s="90" t="s">
        <v>53</v>
      </c>
    </row>
    <row r="367" spans="2:8">
      <c r="B367" s="90" t="s">
        <v>658</v>
      </c>
      <c r="C367" s="90" t="s">
        <v>659</v>
      </c>
      <c r="D367" s="90" t="s">
        <v>660</v>
      </c>
      <c r="E367" s="90" t="s">
        <v>51</v>
      </c>
      <c r="F367" s="90" t="s">
        <v>84</v>
      </c>
      <c r="G367" s="90" t="s">
        <v>53</v>
      </c>
    </row>
    <row r="368" spans="2:8">
      <c r="B368" s="107" t="s">
        <v>661</v>
      </c>
      <c r="C368" s="107" t="s">
        <v>267</v>
      </c>
      <c r="D368" s="107" t="s">
        <v>68</v>
      </c>
      <c r="E368" s="107" t="s">
        <v>150</v>
      </c>
      <c r="F368" s="107" t="s">
        <v>69</v>
      </c>
      <c r="G368" s="107" t="s">
        <v>53</v>
      </c>
    </row>
  </sheetData>
  <sortState xmlns:xlrd2="http://schemas.microsoft.com/office/spreadsheetml/2017/richdata2" ref="B3:H299">
    <sortCondition ref="F3:F299"/>
  </sortState>
  <hyperlinks>
    <hyperlink ref="C364" r:id="rId1" display="javascript:;" xr:uid="{751026BA-5C34-4373-A5DF-897B0088E7DE}"/>
    <hyperlink ref="C365" r:id="rId2" display="javascript:;" xr:uid="{9E42FAE5-7F8C-4164-89A2-F6733E31A3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Sheet4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Yeum Bo Young</dc:creator>
  <cp:lastModifiedBy>Admin</cp:lastModifiedBy>
  <cp:lastPrinted>2026-05-21T02:52:56Z</cp:lastPrinted>
  <dcterms:created xsi:type="dcterms:W3CDTF">2026-04-29T07:52:06Z</dcterms:created>
  <dcterms:modified xsi:type="dcterms:W3CDTF">2026-10-09T06:50:55Z</dcterms:modified>
</cp:coreProperties>
</file>